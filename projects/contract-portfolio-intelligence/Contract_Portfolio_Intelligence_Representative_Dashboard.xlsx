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cb3b5e0fae4ae2" /></Relationships>
</file>

<file path=xl/workbook.xml><?xml version="1.0" encoding="utf-8"?>
<x:workbook xmlns:x="http://schemas.openxmlformats.org/spreadsheetml/2006/main">
  <x:sheets>
    <x:sheet xmlns:r="http://schemas.openxmlformats.org/officeDocument/2006/relationships" name="Executive Dashboard" sheetId="1" r:id="R32f7cd1799ff4947"/>
    <x:sheet xmlns:r="http://schemas.openxmlformats.org/officeDocument/2006/relationships" name="Contract Data" sheetId="2" r:id="Ra3430c45b28e4366"/>
    <x:sheet xmlns:r="http://schemas.openxmlformats.org/officeDocument/2006/relationships" name="Renewal Actions" sheetId="3" r:id="R176aa7ecd8974533"/>
    <x:sheet xmlns:r="http://schemas.openxmlformats.org/officeDocument/2006/relationships" name="Methodology" sheetId="4" r:id="Rec8b65b27f214f7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mm/dd/yyyy"/>
    <x:numFmt numFmtId="201" formatCode="$#,##0"/>
    <x:numFmt numFmtId="202" formatCode="0%"/>
    <x:numFmt numFmtId="203" formatCode="0"/>
    <x:numFmt numFmtId="204" formatCode="$0.0,,&quot;M&quot;"/>
  </x:numFmts>
  <x:fonts count="7">
    <x:font>
      <x:sz val="11"/>
      <x:name val="Carlito"/>
    </x:font>
    <x:font>
      <x:b/>
      <x:sz val="11"/>
      <x:color rgb="FFFFFFFF"/>
      <x:name val="Carlito"/>
    </x:font>
    <x:font>
      <x:b/>
      <x:sz val="20"/>
      <x:color rgb="FFFFFFFF"/>
      <x:name val="Carlito"/>
    </x:font>
    <x:font>
      <x:i/>
      <x:sz val="11"/>
      <x:color rgb="FF243447"/>
      <x:name val="Carlito"/>
    </x:font>
    <x:font>
      <x:b/>
      <x:sz val="18"/>
      <x:color rgb="FF17365D"/>
      <x:name val="Carlito"/>
    </x:font>
    <x:font>
      <x:b/>
      <x:sz val="16"/>
      <x:color rgb="FFFFFFFF"/>
      <x:name val="Carlito"/>
    </x:font>
    <x:font>
      <x:b/>
      <x:sz val="11"/>
      <x:color rgb="FF17365D"/>
      <x:name val="Carlito"/>
    </x:font>
  </x:fonts>
  <x:fills count="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FFFFF"/>
      </x:patternFill>
    </x:fill>
    <x:fill>
      <x:patternFill patternType="solid">
        <x:fgColor rgb="FF2F75B5"/>
      </x:patternFill>
    </x:fill>
    <x:fill>
      <x:patternFill patternType="solid">
        <x:fgColor rgb="FFEAF2F8"/>
      </x:patternFill>
    </x:fill>
  </x:fills>
  <x:borders count="4">
    <x:border/>
    <x:border/>
    <x:border/>
    <x:border/>
  </x:borders>
  <x:cellStyleXfs count="1">
    <x:xf numFmtId="0" fontId="0" fillId="0" borderId="0"/>
  </x:cellStyleXfs>
  <x:cellXfs count="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horizontal="center"/>
    </x:xf>
    <x:xf numFmtId="0" fontId="4" fillId="4" borderId="2"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3" xfId="0" applyNumberFormat="1" applyFont="1" applyFill="1" applyBorder="1"/>
    <x:xf numFmtId="0" fontId="4" fillId="4" borderId="3" xfId="0" applyNumberFormat="1" applyFont="1" applyFill="1" applyBorder="1" applyAlignment="1">
      <x:alignment horizontal="center"/>
    </x:xf>
    <x:xf numFmtId="0" fontId="4" fillId="4" borderId="3" xfId="0" applyNumberFormat="1" applyFont="1" applyFill="1" applyBorder="1" applyAlignment="1">
      <x:alignment horizontal="center" vertical="center"/>
    </x:xf>
    <x:xf numFmtId="203" fontId="4" fillId="4" borderId="2" xfId="0" applyNumberFormat="1" applyFont="1" applyFill="1" applyBorder="1" applyAlignment="1">
      <x:alignment horizontal="center" vertical="center"/>
    </x:xf>
    <x:xf numFmtId="203" fontId="4" fillId="4" borderId="3" xfId="0" applyNumberFormat="1" applyFont="1" applyFill="1" applyBorder="1" applyAlignment="1">
      <x:alignment horizontal="center" vertical="center"/>
    </x:xf>
    <x:xf numFmtId="204" fontId="4" fillId="4" borderId="2" xfId="0" applyNumberFormat="1" applyFont="1" applyFill="1" applyBorder="1" applyAlignment="1">
      <x:alignment horizontal="center" vertical="center"/>
    </x:xf>
    <x:xf numFmtId="204" fontId="4" fillId="4" borderId="3" xfId="0" applyNumberFormat="1" applyFont="1" applyFill="1" applyBorder="1" applyAlignment="1">
      <x:alignment horizontal="center" vertical="center"/>
    </x:xf>
    <x:xf numFmtId="202" fontId="4" fillId="4" borderId="2" xfId="0" applyNumberFormat="1" applyFont="1" applyFill="1" applyBorder="1" applyAlignment="1">
      <x:alignment horizontal="center" vertical="center"/>
    </x:xf>
    <x:xf numFmtId="202" fontId="4" fillId="4" borderId="3"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1" fillId="5" borderId="1" xfId="0" applyNumberFormat="1" applyFont="1" applyFill="1" applyBorder="1" applyAlignment="1">
      <x:alignment horizontal="center" vertical="center"/>
    </x:xf>
    <x:xf numFmtId="0" fontId="2" fillId="2" borderId="0" xfId="0" applyNumberFormat="1" applyFont="1" applyFill="1" applyBorder="1" applyAlignment="1">
      <x:alignment horizontal="left" vertical="center" wrapText="1"/>
    </x:xf>
    <x:xf numFmtId="0" fontId="3" fillId="3" borderId="0" xfId="0" applyNumberFormat="1" applyFont="1" applyFill="1" applyBorder="1" applyAlignment="1">
      <x:alignment vertical="center" wrapText="1"/>
    </x:xf>
    <x:xf numFmtId="0" fontId="1" fillId="5" borderId="0" xfId="0" applyNumberFormat="1" applyFont="1" applyFill="1" applyBorder="1" applyAlignment="1">
      <x:alignment horizontal="center" vertical="center" wrapText="1"/>
    </x:xf>
    <x:xf numFmtId="203" fontId="4" fillId="4" borderId="2" xfId="0" applyNumberFormat="1" applyFont="1" applyFill="1" applyBorder="1" applyAlignment="1">
      <x:alignment horizontal="center" vertical="center" wrapText="1"/>
    </x:xf>
    <x:xf numFmtId="204" fontId="4" fillId="4" borderId="2" xfId="0" applyNumberFormat="1" applyFont="1" applyFill="1" applyBorder="1" applyAlignment="1">
      <x:alignment horizontal="center" vertical="center" wrapText="1"/>
    </x:xf>
    <x:xf numFmtId="202" fontId="4" fillId="4" borderId="2" xfId="0" applyNumberFormat="1" applyFont="1" applyFill="1" applyBorder="1" applyAlignment="1">
      <x:alignment horizontal="center" vertical="center" wrapText="1"/>
    </x:xf>
    <x:xf numFmtId="0" fontId="2" fillId="2" borderId="1" xfId="0" applyNumberFormat="1" applyFont="1" applyFill="1" applyBorder="1" applyAlignment="1">
      <x:alignment horizontal="left" vertical="center" wrapText="1"/>
    </x:xf>
    <x:xf numFmtId="0" fontId="3" fillId="3" borderId="1" xfId="0" applyNumberFormat="1" applyFont="1" applyFill="1" applyBorder="1" applyAlignment="1">
      <x:alignment vertical="center" wrapText="1"/>
    </x:xf>
    <x:xf numFmtId="0" fontId="1" fillId="5" borderId="1" xfId="0" applyNumberFormat="1" applyFont="1" applyFill="1" applyBorder="1" applyAlignment="1">
      <x:alignment horizontal="center" vertical="center" wrapText="1"/>
    </x:xf>
    <x:xf numFmtId="203" fontId="4" fillId="4" borderId="3" xfId="0" applyNumberFormat="1" applyFont="1" applyFill="1" applyBorder="1" applyAlignment="1">
      <x:alignment horizontal="center" vertical="center" wrapText="1"/>
    </x:xf>
    <x:xf numFmtId="204" fontId="4" fillId="4" borderId="3" xfId="0" applyNumberFormat="1" applyFont="1" applyFill="1" applyBorder="1" applyAlignment="1">
      <x:alignment horizontal="center" vertical="center" wrapText="1"/>
    </x:xf>
    <x:xf numFmtId="202" fontId="4" fillId="4" borderId="3" xfId="0" applyNumberFormat="1" applyFont="1" applyFill="1" applyBorder="1" applyAlignment="1">
      <x:alignment horizontal="center" vertical="center" wrapText="1"/>
    </x:xf>
    <x:xf numFmtId="0" fontId="5" fillId="2" borderId="0" xfId="0" applyNumberFormat="1" applyFont="1" applyFill="1" applyBorder="1"/>
    <x:xf numFmtId="0" fontId="5" fillId="2" borderId="1"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6" fillId="3" borderId="0" xfId="0" applyNumberFormat="1" applyFont="1" applyFill="1" applyBorder="1" applyAlignment="1">
      <x:alignment wrapText="1"/>
    </x:xf>
    <x:xf numFmtId="0" fontId="0" fillId="0"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203" fontId="4" fillId="4" borderId="0" xfId="0" applyNumberFormat="1" applyFont="1" applyFill="1" applyBorder="1" applyAlignment="1">
      <x:alignment horizontal="center" vertical="center"/>
    </x:xf>
    <x:xf numFmtId="204" fontId="4" fillId="4" borderId="0" xfId="0" applyNumberFormat="1" applyFont="1" applyFill="1" applyBorder="1" applyAlignment="1">
      <x:alignment horizontal="center" vertical="center"/>
    </x:xf>
    <x:xf numFmtId="202" fontId="4" fillId="4" borderId="0" xfId="0" applyNumberFormat="1" applyFont="1" applyFill="1" applyBorder="1" applyAlignment="1">
      <x:alignment horizontal="center" vertical="center"/>
    </x:xf>
    <x:xf numFmtId="203" fontId="4" fillId="4" borderId="0" xfId="0" applyNumberFormat="1" applyFont="1" applyFill="1" applyBorder="1" applyAlignment="1">
      <x:alignment horizontal="center" vertical="center" wrapText="1"/>
    </x:xf>
    <x:xf numFmtId="204" fontId="4" fillId="4" borderId="0" xfId="0" applyNumberFormat="1" applyFont="1" applyFill="1" applyBorder="1" applyAlignment="1">
      <x:alignment horizontal="center" vertical="center" wrapText="1"/>
    </x:xf>
    <x:xf numFmtId="202" fontId="4" fillId="4" borderId="0"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ac018002ab48c0" /><Relationship Type="http://schemas.openxmlformats.org/officeDocument/2006/relationships/theme" Target="/xl/theme/theme1.xml" Id="Rd3e2f507d7b44a07" /><Relationship Type="http://schemas.openxmlformats.org/officeDocument/2006/relationships/sharedStrings" Target="/xl/sharedStrings.xml" Id="Rb02b2a675edc449e" /><Relationship Type="http://schemas.openxmlformats.org/officeDocument/2006/relationships/worksheet" Target="/xl/worksheets/sheet1.xml" Id="R32f7cd1799ff4947" /><Relationship Type="http://schemas.openxmlformats.org/officeDocument/2006/relationships/worksheet" Target="/xl/worksheets/sheet2.xml" Id="Ra3430c45b28e4366" /><Relationship Type="http://schemas.openxmlformats.org/officeDocument/2006/relationships/worksheet" Target="/xl/worksheets/sheet3.xml" Id="R176aa7ecd8974533" /><Relationship Type="http://schemas.openxmlformats.org/officeDocument/2006/relationships/worksheet" Target="/xl/worksheets/sheet4.xml" Id="Rec8b65b27f214f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3f0ac0bf3a4713" /><Relationship Type="http://schemas.openxmlformats.org/officeDocument/2006/relationships/chart" Target="/xl/drawings/charts/chart2.xml" Id="Rcb5668c888bd40a1" /><Relationship Type="http://schemas.openxmlformats.org/officeDocument/2006/relationships/chart" Target="/xl/drawings/charts/chart3.xml" Id="Rb7d14f54a97c4ea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Renewal Pipeline</a:t>
            </a:r>
          </a:p>
        </c:rich>
      </c:tx>
    </c:title>
    <c:plotArea>
      <c:barChart>
        <c:barDir val="col"/>
        <c:varyColors val="0"/>
        <c:ser>
          <c:idx val="0"/>
          <c:order val="0"/>
          <c:tx>
            <c:v>Pending</c:v>
          </c:tx>
          <c:cat>
            <c:strRef>
              <c:f>'Executive Dashboard'!$A$15:$A$19</c:f>
              <c:strCache>
                <c:ptCount val="0"/>
              </c:strCache>
            </c:strRef>
          </c:cat>
          <c:val>
            <c:numRef>
              <c:f>'Executive Dashboard'!$B$15:$B$19</c:f>
              <c:numCache>
                <c:formatCode>General</c:formatCode>
                <c:ptCount val="0"/>
              </c:numCache>
            </c:numRef>
          </c:val>
        </c:ser>
        <c:ser>
          <c:idx val="1"/>
          <c:order val="1"/>
          <c:tx>
            <c:v>Renewed</c:v>
          </c:tx>
          <c:cat>
            <c:strRef>
              <c:f>'Executive Dashboard'!$A$15:$A$19</c:f>
              <c:strCache>
                <c:ptCount val="0"/>
              </c:strCache>
            </c:strRef>
          </c:cat>
          <c:val>
            <c:numRef>
              <c:f>'Executive Dashboard'!$C$15:$C$19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Estimated vs. Actual Sales by Segment</a:t>
            </a:r>
          </a:p>
        </c:rich>
      </c:tx>
    </c:title>
    <c:plotArea>
      <c:barChart>
        <c:barDir val="col"/>
        <c:varyColors val="0"/>
        <c:ser>
          <c:idx val="0"/>
          <c:order val="0"/>
          <c:tx>
            <c:v>Initial Estimate</c:v>
          </c:tx>
          <c:cat>
            <c:strRef>
              <c:f>'Executive Dashboard'!$A$23:$A$26</c:f>
              <c:strCache>
                <c:ptCount val="0"/>
              </c:strCache>
            </c:strRef>
          </c:cat>
          <c:val>
            <c:numRef>
              <c:f>'Executive Dashboard'!$B$23:$B$26</c:f>
              <c:numCache>
                <c:formatCode>$#,##0</c:formatCode>
                <c:ptCount val="0"/>
              </c:numCache>
            </c:numRef>
          </c:val>
        </c:ser>
        <c:ser>
          <c:idx val="1"/>
          <c:order val="1"/>
          <c:tx>
            <c:v>Actual Sales</c:v>
          </c:tx>
          <c:cat>
            <c:strRef>
              <c:f>'Executive Dashboard'!$A$23:$A$26</c:f>
              <c:strCache>
                <c:ptCount val="0"/>
              </c:strCache>
            </c:strRef>
          </c:cat>
          <c:val>
            <c:numRef>
              <c:f>'Executive Dashboard'!$C$23:$C$26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Portfolio Value by Program Manager</a:t>
            </a:r>
          </a:p>
        </c:rich>
      </c:tx>
    </c:title>
    <c:plotArea>
      <c:barChart>
        <c:barDir val="col"/>
        <c:varyColors val="0"/>
        <c:ser>
          <c:idx val="0"/>
          <c:order val="0"/>
          <c:tx>
            <c:v>Initial Estimate</c:v>
          </c:tx>
          <c:cat>
            <c:strRef>
              <c:f>'Executive Dashboard'!$F$23:$F$27</c:f>
              <c:strCache>
                <c:ptCount val="0"/>
              </c:strCache>
            </c:strRef>
          </c:cat>
          <c:val>
            <c:numRef>
              <c:f>'Executive Dashboard'!$G$23:$G$27</c:f>
              <c:numCache>
                <c:formatCode>$#,##0</c:formatCode>
                <c:ptCount val="0"/>
              </c:numCache>
            </c:numRef>
          </c:val>
        </c:ser>
        <c:ser>
          <c:idx val="1"/>
          <c:order val="1"/>
          <c:tx>
            <c:v>Actual Sales</c:v>
          </c:tx>
          <c:cat>
            <c:strRef>
              <c:f>'Executive Dashboard'!$F$23:$F$27</c:f>
              <c:strCache>
                <c:ptCount val="0"/>
              </c:strCache>
            </c:strRef>
          </c:cat>
          <c:val>
            <c:numRef>
              <c:f>'Executive Dashboard'!$H$23:$H$27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13</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3f0ac0bf3a4713"/>
        </a:graphicData>
      </a:graphic>
    </xdr:graphicFrame>
    <xdr:clientData/>
  </xdr:twoCellAnchor>
  <xdr:twoCellAnchor>
    <xdr:from>
      <xdr:col>0</xdr:col>
      <xdr:colOff>0</xdr:colOff>
      <xdr:row>28</xdr:row>
      <xdr:rowOff>0</xdr:rowOff>
    </xdr:from>
    <xdr:to>
      <xdr:col>6</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5668c888bd40a1"/>
        </a:graphicData>
      </a:graphic>
    </xdr:graphicFrame>
    <xdr:clientData/>
  </xdr:twoCellAnchor>
  <xdr:twoCellAnchor>
    <xdr:from>
      <xdr:col>6</xdr:col>
      <xdr:colOff>0</xdr:colOff>
      <xdr:row>28</xdr:row>
      <xdr:rowOff>0</xdr:rowOff>
    </xdr:from>
    <xdr:to>
      <xdr:col>12</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d14f54a97c4eac"/>
        </a:graphicData>
      </a:graphic>
    </xdr:graphicFrame>
    <xdr:clientData/>
  </xdr:twoCellAnchor>
</xdr:wsDr>
</file>

<file path=xl/tables/table1.xml><?xml version="1.0" encoding="utf-8"?>
<x:table xmlns:x="http://schemas.openxmlformats.org/spreadsheetml/2006/main" id="1" name="ContractPortfolio" displayName="ContractPortfolio" ref="A1:L41" headerRowCount="1" totalsRowCount="0" totalsRowShown="0">
  <x:tableColumns count="12">
    <x:tableColumn id="1" name="Contract ID"/>
    <x:tableColumn id="2" name="Contract Name"/>
    <x:tableColumn id="3" name="Segment"/>
    <x:tableColumn id="4" name="Program Manager"/>
    <x:tableColumn id="5" name="Renewal Date"/>
    <x:tableColumn id="6" name="Renewal Status"/>
    <x:tableColumn id="7" name="Initial Revenue Estimate"/>
    <x:tableColumn id="8" name="Actual Sales"/>
    <x:tableColumn id="9" name="Actual / Estimate"/>
    <x:tableColumn id="10" name="Renewal Risk"/>
    <x:tableColumn id="11" name="Pricing Review"/>
    <x:tableColumn id="12" name="Margin Status"/>
  </x:tableColumns>
  <x:tableStyleInfo name="TableStyleMedium2" showFirstColumn="0" showLastColumn="0" showRowStripes="1" showColumnStripes="0"/>
</x:table>
</file>

<file path=xl/tables/table2.xml><?xml version="1.0" encoding="utf-8"?>
<x:table xmlns:x="http://schemas.openxmlformats.org/spreadsheetml/2006/main" id="2" name="RenewalActionTable" displayName="RenewalActionTable" ref="A1:H20" headerRowCount="1" totalsRowCount="0" totalsRowShown="0">
  <x:tableColumns count="8">
    <x:tableColumn id="1" name="Contract ID"/>
    <x:tableColumn id="2" name="Owner"/>
    <x:tableColumn id="3" name="Renewal Window"/>
    <x:tableColumn id="4" name="Action / Next Step"/>
    <x:tableColumn id="5" name="Risk"/>
    <x:tableColumn id="6" name="Pricing Opportunity"/>
    <x:tableColumn id="7" name="Revenue / Margin Opportunity"/>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b35159556cc4523" /></Relationships>
</file>

<file path=xl/worksheets/_rels/sheet2.xml.rels>&#65279;<?xml version="1.0" encoding="utf-8"?><Relationships xmlns="http://schemas.openxmlformats.org/package/2006/relationships"><Relationship Type="http://schemas.openxmlformats.org/officeDocument/2006/relationships/table" Target="/xl/tables/table1.xml" Id="R834df40c872a4baa" /></Relationships>
</file>

<file path=xl/worksheets/_rels/sheet3.xml.rels>&#65279;<?xml version="1.0" encoding="utf-8"?><Relationships xmlns="http://schemas.openxmlformats.org/package/2006/relationships"><Relationship Type="http://schemas.openxmlformats.org/officeDocument/2006/relationships/table" Target="/xl/tables/table2.xml" Id="R00dcf37645fe43fd"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60" t="str">
        <x:v>Contract Portfolio Intelligence &amp; Renewal Management</x:v>
      </x:c>
      <x:c r="B1" s="16"/>
      <x:c r="C1" s="16"/>
      <x:c r="D1" s="16"/>
      <x:c r="E1" s="16"/>
      <x:c r="F1" s="16"/>
      <x:c r="G1" s="16"/>
      <x:c r="H1" s="16"/>
      <x:c r="I1" s="16"/>
      <x:c r="J1" s="16"/>
      <x:c r="K1" s="16"/>
      <x:c r="L1" s="16"/>
    </x:row>
    <x:row r="2">
      <x:c r="A2" s="16"/>
      <x:c r="B2" s="16"/>
      <x:c r="C2" s="16"/>
      <x:c r="D2" s="16"/>
      <x:c r="E2" s="16"/>
      <x:c r="F2" s="16"/>
      <x:c r="G2" s="16"/>
      <x:c r="H2" s="16"/>
      <x:c r="I2" s="16"/>
      <x:c r="J2" s="16"/>
      <x:c r="K2" s="16"/>
      <x:c r="L2" s="16"/>
    </x:row>
    <x:row r="3">
      <x:c r="A3" s="61" t="str">
        <x:v>Representative Portfolio Sample - simulated contract names and financial values</x:v>
      </x:c>
      <x:c r="B3" s="16"/>
      <x:c r="C3" s="16"/>
      <x:c r="D3" s="16"/>
      <x:c r="E3" s="16"/>
      <x:c r="F3" s="16"/>
      <x:c r="G3" s="16"/>
      <x:c r="H3" s="16"/>
      <x:c r="I3" s="16"/>
      <x:c r="J3" s="16"/>
      <x:c r="K3" s="16"/>
      <x:c r="L3" s="16"/>
    </x:row>
    <x:row r="4">
      <x:c r="A4" s="62" t="str">
        <x:v>Pending 0-30 Days</x:v>
      </x:c>
      <x:c r="B4" s="16"/>
      <x:c r="C4" s="16"/>
      <x:c r="D4" s="62" t="str">
        <x:v>Pending 31-60 Days</x:v>
      </x:c>
      <x:c r="E4" s="16"/>
      <x:c r="F4" s="16"/>
      <x:c r="G4" s="62" t="str">
        <x:v>Pending 61-90 Days</x:v>
      </x:c>
      <x:c r="H4" s="16"/>
      <x:c r="I4" s="16"/>
      <x:c r="J4" s="62" t="str">
        <x:v>Renewed Contracts</x:v>
      </x:c>
      <x:c r="K4" s="16"/>
      <x:c r="L4" s="16"/>
    </x:row>
    <x:row r="5">
      <x:c r="A5" s="63" t="n">
        <x:f>COUNTIFS('Contract Data'!$F$2:$F$41,"Pending",'Contract Data'!$E$2:$E$41,"&gt;="&amp;DATE(2026,9,30),'Contract Data'!$E$2:$E$41,"&lt;="&amp;DATE(2026,10,30))</x:f>
        <x:v>7</x:v>
      </x:c>
      <x:c r="B5" s="16"/>
      <x:c r="C5" s="16"/>
      <x:c r="D5" s="63" t="n">
        <x:f>COUNTIFS('Contract Data'!$F$2:$F$41,"Pending",'Contract Data'!$E$2:$E$41,"&gt;"&amp;DATE(2026,10,30),'Contract Data'!$E$2:$E$41,"&lt;="&amp;DATE(2026,11,29))</x:f>
        <x:v>8</x:v>
      </x:c>
      <x:c r="E5" s="16"/>
      <x:c r="F5" s="16"/>
      <x:c r="G5" s="63" t="n">
        <x:f>COUNTIFS('Contract Data'!$F$2:$F$41,"Pending",'Contract Data'!$E$2:$E$41,"&gt;"&amp;DATE(2026,11,29),'Contract Data'!$E$2:$E$41,"&lt;="&amp;DATE(2026,12,29))</x:f>
        <x:v>4</x:v>
      </x:c>
      <x:c r="H5" s="16"/>
      <x:c r="I5" s="16"/>
      <x:c r="J5" s="63" t="n">
        <x:f>COUNTIF('Contract Data'!$F$2:$F$41,"Renewed")</x:f>
        <x:v>14</x:v>
      </x:c>
      <x:c r="K5" s="16"/>
      <x:c r="L5" s="16"/>
    </x:row>
    <x:row r="6">
      <x:c r="A6" s="16"/>
      <x:c r="B6" s="16"/>
      <x:c r="C6" s="16"/>
      <x:c r="D6" s="16"/>
      <x:c r="E6" s="16"/>
      <x:c r="F6" s="16"/>
      <x:c r="G6" s="16"/>
      <x:c r="H6" s="16"/>
      <x:c r="I6" s="16"/>
      <x:c r="J6" s="16"/>
      <x:c r="K6" s="16"/>
      <x:c r="L6" s="16"/>
    </x:row>
    <x:row r="7">
      <x:c r="A7" s="16"/>
      <x:c r="B7" s="16"/>
      <x:c r="C7" s="16"/>
      <x:c r="D7" s="16"/>
      <x:c r="E7" s="16"/>
      <x:c r="F7" s="16"/>
      <x:c r="G7" s="16"/>
      <x:c r="H7" s="16"/>
      <x:c r="I7" s="16"/>
      <x:c r="J7" s="16"/>
      <x:c r="K7" s="16"/>
      <x:c r="L7" s="16"/>
    </x:row>
    <x:row r="8">
      <x:c r="A8" s="62" t="str">
        <x:v>Initial Est. Value</x:v>
      </x:c>
      <x:c r="B8" s="16"/>
      <x:c r="C8" s="16"/>
      <x:c r="D8" s="62" t="str">
        <x:v>Actual Sales</x:v>
      </x:c>
      <x:c r="E8" s="16"/>
      <x:c r="F8" s="16"/>
      <x:c r="G8" s="62" t="str">
        <x:v>Portfolio Performance</x:v>
      </x:c>
      <x:c r="H8" s="16"/>
      <x:c r="I8" s="16"/>
      <x:c r="J8" s="62" t="str">
        <x:v>High-Risk Contracts</x:v>
      </x:c>
      <x:c r="K8" s="16"/>
      <x:c r="L8" s="16"/>
    </x:row>
    <x:row r="9">
      <x:c r="A9" s="64" t="n">
        <x:f>SUM('Contract Data'!$G$2:$G$41)</x:f>
        <x:v>40450000</x:v>
      </x:c>
      <x:c r="B9" s="16"/>
      <x:c r="C9" s="16"/>
      <x:c r="D9" s="64" t="n">
        <x:f>SUM('Contract Data'!$H$2:$H$41)</x:f>
        <x:v>34821000</x:v>
      </x:c>
      <x:c r="E9" s="16"/>
      <x:c r="F9" s="16"/>
      <x:c r="G9" s="65" t="n">
        <x:f>SUM('Contract Data'!$H$2:$H$41)/SUM('Contract Data'!$G$2:$G$41)</x:f>
        <x:v>0.860840543881335</x:v>
      </x:c>
      <x:c r="H9" s="16"/>
      <x:c r="I9" s="16"/>
      <x:c r="J9" s="63" t="n">
        <x:f>COUNTIF('Contract Data'!$J$2:$J$41,"High")</x:f>
        <x:v>8</x:v>
      </x:c>
      <x:c r="K9" s="16"/>
      <x:c r="L9" s="16"/>
    </x:row>
    <x:row r="10">
      <x:c r="A10" s="16"/>
      <x:c r="B10" s="16"/>
      <x:c r="C10" s="16"/>
      <x:c r="D10" s="16"/>
      <x:c r="E10" s="16"/>
      <x:c r="F10" s="16"/>
      <x:c r="G10" s="16"/>
      <x:c r="H10" s="16"/>
      <x:c r="I10" s="16"/>
      <x:c r="J10" s="16"/>
      <x:c r="K10" s="16"/>
      <x:c r="L10" s="16"/>
    </x:row>
    <x:row r="11">
      <x:c r="A11" s="16"/>
      <x:c r="B11" s="16"/>
      <x:c r="C11" s="16"/>
      <x:c r="D11" s="16"/>
      <x:c r="E11" s="16"/>
      <x:c r="F11" s="16"/>
      <x:c r="G11" s="16"/>
      <x:c r="H11" s="16"/>
      <x:c r="I11" s="16"/>
      <x:c r="J11" s="16"/>
      <x:c r="K11" s="16"/>
      <x:c r="L11" s="16"/>
    </x:row>
    <x:row r="12">
      <x:c r="A12" s="16"/>
      <x:c r="B12" s="16"/>
      <x:c r="C12" s="16"/>
      <x:c r="D12" s="16"/>
      <x:c r="E12" s="16"/>
      <x:c r="F12" s="16"/>
      <x:c r="G12" s="16"/>
      <x:c r="H12" s="16"/>
      <x:c r="I12" s="16"/>
      <x:c r="J12" s="16"/>
      <x:c r="K12" s="16"/>
      <x:c r="L12" s="16"/>
    </x:row>
    <x:row r="13">
      <x:c r="A13" s="16"/>
      <x:c r="B13" s="16"/>
      <x:c r="C13" s="16"/>
      <x:c r="D13" s="16"/>
      <x:c r="E13" s="16"/>
      <x:c r="F13" s="16"/>
      <x:c r="G13" s="16"/>
      <x:c r="H13" s="16"/>
      <x:c r="I13" s="16"/>
      <x:c r="J13" s="16"/>
      <x:c r="K13" s="16"/>
      <x:c r="L13" s="16"/>
    </x:row>
    <x:row r="14">
      <x:c r="A14" s="5" t="str">
        <x:v>Renewal Window</x:v>
      </x:c>
      <x:c r="B14" s="5" t="str">
        <x:v>Pending</x:v>
      </x:c>
      <x:c r="C14" s="5" t="str">
        <x:v>Renewed</x:v>
      </x:c>
      <x:c r="D14" s="16"/>
      <x:c r="E14" s="16"/>
      <x:c r="F14" s="16"/>
      <x:c r="G14" s="16"/>
      <x:c r="H14" s="16"/>
      <x:c r="I14" s="16"/>
      <x:c r="J14" s="16"/>
      <x:c r="K14" s="16"/>
      <x:c r="L14" s="16"/>
    </x:row>
    <x:row r="15">
      <x:c r="A15" s="16" t="str">
        <x:v>0-30</x:v>
      </x:c>
      <x:c r="B15" s="16" t="n">
        <x:f>COUNTIFS('Contract Data'!$F$2:$F$41,"Pending",'Contract Data'!$E$2:$E$41,"&gt;="&amp;DATE(2026,9,30),'Contract Data'!$E$2:$E$41,"&lt;="&amp;DATE(2026,10,30))</x:f>
        <x:v>7</x:v>
      </x:c>
      <x:c r="C15" s="16" t="n">
        <x:v>0</x:v>
      </x:c>
      <x:c r="D15" s="16"/>
      <x:c r="E15" s="16"/>
      <x:c r="F15" s="16"/>
      <x:c r="G15" s="16"/>
      <x:c r="H15" s="16"/>
      <x:c r="I15" s="16"/>
      <x:c r="J15" s="16"/>
      <x:c r="K15" s="16"/>
      <x:c r="L15" s="16"/>
    </x:row>
    <x:row r="16">
      <x:c r="A16" s="16" t="str">
        <x:v>31-60</x:v>
      </x:c>
      <x:c r="B16" s="16" t="n">
        <x:f>COUNTIFS('Contract Data'!$F$2:$F$41,"Pending",'Contract Data'!$E$2:$E$41,"&gt;"&amp;DATE(2026,10,30),'Contract Data'!$E$2:$E$41,"&lt;="&amp;DATE(2026,11,29))</x:f>
        <x:v>8</x:v>
      </x:c>
      <x:c r="C16" s="16" t="n">
        <x:v>0</x:v>
      </x:c>
      <x:c r="D16" s="16"/>
      <x:c r="E16" s="16"/>
      <x:c r="F16" s="16"/>
      <x:c r="G16" s="16"/>
      <x:c r="H16" s="16"/>
      <x:c r="I16" s="16"/>
      <x:c r="J16" s="16"/>
      <x:c r="K16" s="16"/>
      <x:c r="L16" s="16"/>
    </x:row>
    <x:row r="17">
      <x:c r="A17" s="16" t="str">
        <x:v>61-90</x:v>
      </x:c>
      <x:c r="B17" s="16" t="n">
        <x:f>COUNTIFS('Contract Data'!$F$2:$F$41,"Pending",'Contract Data'!$E$2:$E$41,"&gt;"&amp;DATE(2026,11,29),'Contract Data'!$E$2:$E$41,"&lt;="&amp;DATE(2026,12,29))</x:f>
        <x:v>4</x:v>
      </x:c>
      <x:c r="C17" s="16" t="n">
        <x:v>0</x:v>
      </x:c>
      <x:c r="D17" s="16"/>
      <x:c r="E17" s="16"/>
      <x:c r="F17" s="16"/>
      <x:c r="G17" s="16"/>
      <x:c r="H17" s="16"/>
      <x:c r="I17" s="16"/>
      <x:c r="J17" s="16"/>
      <x:c r="K17" s="16"/>
      <x:c r="L17" s="16"/>
    </x:row>
    <x:row r="18">
      <x:c r="A18" s="16" t="str">
        <x:v>91+</x:v>
      </x:c>
      <x:c r="B18" s="16" t="n">
        <x:f>COUNTIFS('Contract Data'!$F$2:$F$41,"Pending",'Contract Data'!$E$2:$E$41,"&gt;"&amp;DATE(2026,12,29))</x:f>
        <x:v>7</x:v>
      </x:c>
      <x:c r="C18" s="16" t="n">
        <x:v>0</x:v>
      </x:c>
      <x:c r="D18" s="16"/>
      <x:c r="E18" s="16"/>
      <x:c r="F18" s="16"/>
      <x:c r="G18" s="16"/>
      <x:c r="H18" s="16"/>
      <x:c r="I18" s="16"/>
      <x:c r="J18" s="16"/>
      <x:c r="K18" s="16"/>
      <x:c r="L18" s="16"/>
    </x:row>
    <x:row r="19">
      <x:c r="A19" s="16" t="str">
        <x:v>Completed</x:v>
      </x:c>
      <x:c r="B19" s="16" t="n">
        <x:v>0</x:v>
      </x:c>
      <x:c r="C19" s="16" t="n">
        <x:f>COUNTIF('Contract Data'!$F$2:$F$41,"Renewed")</x:f>
        <x:v>14</x:v>
      </x:c>
      <x:c r="D19" s="16"/>
      <x:c r="E19" s="16"/>
      <x:c r="F19" s="16"/>
      <x:c r="G19" s="16"/>
      <x:c r="H19" s="16"/>
      <x:c r="I19" s="16"/>
      <x:c r="J19" s="16"/>
      <x:c r="K19" s="16"/>
      <x:c r="L19" s="16"/>
    </x:row>
    <x:row r="20">
      <x:c r="A20" s="16"/>
      <x:c r="B20" s="16"/>
      <x:c r="C20" s="16"/>
      <x:c r="D20" s="16"/>
      <x:c r="E20" s="16"/>
      <x:c r="F20" s="16"/>
      <x:c r="G20" s="16"/>
      <x:c r="H20" s="16"/>
      <x:c r="I20" s="16"/>
      <x:c r="J20" s="16"/>
      <x:c r="K20" s="16"/>
      <x:c r="L20" s="16"/>
    </x:row>
    <x:row r="21">
      <x:c r="A21" s="16"/>
      <x:c r="B21" s="16"/>
      <x:c r="C21" s="16"/>
      <x:c r="D21" s="16"/>
      <x:c r="E21" s="16"/>
      <x:c r="F21" s="16"/>
      <x:c r="G21" s="16"/>
      <x:c r="H21" s="16"/>
      <x:c r="I21" s="16"/>
      <x:c r="J21" s="16"/>
      <x:c r="K21" s="16"/>
      <x:c r="L21" s="16"/>
    </x:row>
    <x:row r="22">
      <x:c r="A22" s="5" t="str">
        <x:v>Segment</x:v>
      </x:c>
      <x:c r="B22" s="5" t="str">
        <x:v>Initial Estimate</x:v>
      </x:c>
      <x:c r="C22" s="5" t="str">
        <x:v>Actual Sales</x:v>
      </x:c>
      <x:c r="D22" s="5" t="str">
        <x:v>Performance</x:v>
      </x:c>
      <x:c r="E22" s="16"/>
      <x:c r="F22" s="5" t="str">
        <x:v>Program Manager</x:v>
      </x:c>
      <x:c r="G22" s="5" t="str">
        <x:v>Initial Estimate</x:v>
      </x:c>
      <x:c r="H22" s="5" t="str">
        <x:v>Actual Sales</x:v>
      </x:c>
      <x:c r="I22" s="5" t="str">
        <x:v>Performance</x:v>
      </x:c>
      <x:c r="J22" s="16"/>
      <x:c r="K22" s="16"/>
      <x:c r="L22" s="16"/>
    </x:row>
    <x:row r="23">
      <x:c r="A23" s="16" t="str">
        <x:v>State</x:v>
      </x:c>
      <x:c r="B23" s="18" t="n">
        <x:f>SUMIF('Contract Data'!$C$2:$C$41,A23,'Contract Data'!$G$2:$G$41)</x:f>
        <x:v>9550000</x:v>
      </x:c>
      <x:c r="C23" s="18" t="n">
        <x:f>SUMIF('Contract Data'!$C$2:$C$41,A23,'Contract Data'!$H$2:$H$41)</x:f>
        <x:v>7953000</x:v>
      </x:c>
      <x:c r="D23" s="19" t="n">
        <x:f>C23/B23</x:f>
        <x:v>0.8327748691099477</x:v>
      </x:c>
      <x:c r="E23" s="16"/>
      <x:c r="F23" s="16" t="str">
        <x:v>PM A</x:v>
      </x:c>
      <x:c r="G23" s="18" t="n">
        <x:f>SUMIF('Contract Data'!$D$2:$D$41,F23,'Contract Data'!$G$2:$G$41)</x:f>
        <x:v>9200000</x:v>
      </x:c>
      <x:c r="H23" s="18" t="n">
        <x:f>SUMIF('Contract Data'!$D$2:$D$41,F23,'Contract Data'!$H$2:$H$41)</x:f>
        <x:v>6876000</x:v>
      </x:c>
      <x:c r="I23" s="19" t="n">
        <x:f>H23/G23</x:f>
        <x:v>0.7473913043478261</x:v>
      </x:c>
      <x:c r="J23" s="16"/>
      <x:c r="K23" s="16"/>
      <x:c r="L23" s="16"/>
    </x:row>
    <x:row r="24">
      <x:c r="A24" s="16" t="str">
        <x:v>Local</x:v>
      </x:c>
      <x:c r="B24" s="18" t="n">
        <x:f>SUMIF('Contract Data'!$C$2:$C$41,A24,'Contract Data'!$G$2:$G$41)</x:f>
        <x:v>8550000</x:v>
      </x:c>
      <x:c r="C24" s="18" t="n">
        <x:f>SUMIF('Contract Data'!$C$2:$C$41,A24,'Contract Data'!$H$2:$H$41)</x:f>
        <x:v>7852000</x:v>
      </x:c>
      <x:c r="D24" s="19" t="n">
        <x:f>C24/B24</x:f>
        <x:v>0.9183625730994152</x:v>
      </x:c>
      <x:c r="E24" s="16"/>
      <x:c r="F24" s="16" t="str">
        <x:v>PM B</x:v>
      </x:c>
      <x:c r="G24" s="18" t="n">
        <x:f>SUMIF('Contract Data'!$D$2:$D$41,F24,'Contract Data'!$G$2:$G$41)</x:f>
        <x:v>8850000</x:v>
      </x:c>
      <x:c r="H24" s="18" t="n">
        <x:f>SUMIF('Contract Data'!$D$2:$D$41,F24,'Contract Data'!$H$2:$H$41)</x:f>
        <x:v>7723000</x:v>
      </x:c>
      <x:c r="I24" s="19" t="n">
        <x:f>H24/G24</x:f>
        <x:v>0.8726553672316384</x:v>
      </x:c>
      <x:c r="J24" s="16"/>
      <x:c r="K24" s="16"/>
      <x:c r="L24" s="16"/>
    </x:row>
    <x:row r="25">
      <x:c r="A25" s="16" t="str">
        <x:v>Commercial</x:v>
      </x:c>
      <x:c r="B25" s="18" t="n">
        <x:f>SUMIF('Contract Data'!$C$2:$C$41,A25,'Contract Data'!$G$2:$G$41)</x:f>
        <x:v>11500000</x:v>
      </x:c>
      <x:c r="C25" s="18" t="n">
        <x:f>SUMIF('Contract Data'!$C$2:$C$41,A25,'Contract Data'!$H$2:$H$41)</x:f>
        <x:v>9466000</x:v>
      </x:c>
      <x:c r="D25" s="19" t="n">
        <x:f>C25/B25</x:f>
        <x:v>0.8231304347826087</x:v>
      </x:c>
      <x:c r="E25" s="16"/>
      <x:c r="F25" s="16" t="str">
        <x:v>PM C</x:v>
      </x:c>
      <x:c r="G25" s="18" t="n">
        <x:f>SUMIF('Contract Data'!$D$2:$D$41,F25,'Contract Data'!$G$2:$G$41)</x:f>
        <x:v>6950000</x:v>
      </x:c>
      <x:c r="H25" s="18" t="n">
        <x:f>SUMIF('Contract Data'!$D$2:$D$41,F25,'Contract Data'!$H$2:$H$41)</x:f>
        <x:v>6637000</x:v>
      </x:c>
      <x:c r="I25" s="19" t="n">
        <x:f>H25/G25</x:f>
        <x:v>0.9549640287769784</x:v>
      </x:c>
      <x:c r="J25" s="16"/>
      <x:c r="K25" s="16"/>
      <x:c r="L25" s="16"/>
    </x:row>
    <x:row r="26">
      <x:c r="A26" s="16" t="str">
        <x:v>Federal</x:v>
      </x:c>
      <x:c r="B26" s="18" t="n">
        <x:f>SUMIF('Contract Data'!$C$2:$C$41,A26,'Contract Data'!$G$2:$G$41)</x:f>
        <x:v>10850000</x:v>
      </x:c>
      <x:c r="C26" s="18" t="n">
        <x:f>SUMIF('Contract Data'!$C$2:$C$41,A26,'Contract Data'!$H$2:$H$41)</x:f>
        <x:v>9550000</x:v>
      </x:c>
      <x:c r="D26" s="19" t="n">
        <x:f>C26/B26</x:f>
        <x:v>0.880184331797235</x:v>
      </x:c>
      <x:c r="E26" s="16"/>
      <x:c r="F26" s="16" t="str">
        <x:v>PM D</x:v>
      </x:c>
      <x:c r="G26" s="18" t="n">
        <x:f>SUMIF('Contract Data'!$D$2:$D$41,F26,'Contract Data'!$G$2:$G$41)</x:f>
        <x:v>6450000</x:v>
      </x:c>
      <x:c r="H26" s="18" t="n">
        <x:f>SUMIF('Contract Data'!$D$2:$D$41,F26,'Contract Data'!$H$2:$H$41)</x:f>
        <x:v>6156000</x:v>
      </x:c>
      <x:c r="I26" s="19" t="n">
        <x:f>H26/G26</x:f>
        <x:v>0.9544186046511628</x:v>
      </x:c>
      <x:c r="J26" s="16"/>
      <x:c r="K26" s="16"/>
      <x:c r="L26" s="16"/>
    </x:row>
    <x:row r="27">
      <x:c r="A27" s="16"/>
      <x:c r="B27" s="16"/>
      <x:c r="C27" s="16"/>
      <x:c r="D27" s="16"/>
      <x:c r="E27" s="16"/>
      <x:c r="F27" s="16" t="str">
        <x:v>PM E</x:v>
      </x:c>
      <x:c r="G27" s="18" t="n">
        <x:f>SUMIF('Contract Data'!$D$2:$D$41,F27,'Contract Data'!$G$2:$G$41)</x:f>
        <x:v>9000000</x:v>
      </x:c>
      <x:c r="H27" s="18" t="n">
        <x:f>SUMIF('Contract Data'!$D$2:$D$41,F27,'Contract Data'!$H$2:$H$41)</x:f>
        <x:v>7429000</x:v>
      </x:c>
      <x:c r="I27" s="19" t="n">
        <x:f>H27/G27</x:f>
        <x:v>0.8254444444444444</x:v>
      </x:c>
      <x:c r="J27" s="16"/>
      <x:c r="K27" s="16"/>
      <x:c r="L27" s="16"/>
    </x:row>
    <x:row r="28">
      <x:c r="A28" s="16"/>
      <x:c r="B28" s="16"/>
      <x:c r="C28" s="16"/>
      <x:c r="D28" s="16"/>
      <x:c r="E28" s="16"/>
      <x:c r="F28" s="16"/>
      <x:c r="G28" s="16"/>
      <x:c r="H28" s="16"/>
      <x:c r="I28" s="16"/>
      <x:c r="J28" s="16"/>
      <x:c r="K28" s="16"/>
      <x:c r="L28" s="16"/>
    </x:row>
    <x:row r="29">
      <x:c r="A29" s="16"/>
      <x:c r="B29" s="16"/>
      <x:c r="C29" s="16"/>
      <x:c r="D29" s="16"/>
      <x:c r="E29" s="16"/>
      <x:c r="F29" s="16"/>
      <x:c r="G29" s="16"/>
      <x:c r="H29" s="16"/>
      <x:c r="I29" s="16"/>
      <x:c r="J29" s="16"/>
      <x:c r="K29" s="16"/>
      <x:c r="L29" s="16"/>
    </x:row>
    <x:row r="30">
      <x:c r="A30" s="16"/>
      <x:c r="B30" s="16"/>
      <x:c r="C30" s="16"/>
      <x:c r="D30" s="16"/>
      <x:c r="E30" s="16"/>
      <x:c r="F30" s="16"/>
      <x:c r="G30" s="16"/>
      <x:c r="H30" s="16"/>
      <x:c r="I30" s="16"/>
      <x:c r="J30" s="16"/>
      <x:c r="K30" s="16"/>
      <x:c r="L30" s="16"/>
    </x:row>
    <x:row r="31">
      <x:c r="A31" s="16"/>
      <x:c r="B31" s="16"/>
      <x:c r="C31" s="16"/>
      <x:c r="D31" s="16"/>
      <x:c r="E31" s="16"/>
      <x:c r="F31" s="16"/>
      <x:c r="G31" s="16"/>
      <x:c r="H31" s="16"/>
      <x:c r="I31" s="16"/>
      <x:c r="J31" s="16"/>
      <x:c r="K31" s="16"/>
      <x:c r="L31" s="16"/>
    </x:row>
    <x:row r="32">
      <x:c r="A32" s="16"/>
      <x:c r="B32" s="16"/>
      <x:c r="C32" s="16"/>
      <x:c r="D32" s="16"/>
      <x:c r="E32" s="16"/>
      <x:c r="F32" s="16"/>
      <x:c r="G32" s="16"/>
      <x:c r="H32" s="16"/>
      <x:c r="I32" s="16"/>
      <x:c r="J32" s="16"/>
      <x:c r="K32" s="16"/>
      <x:c r="L32" s="16"/>
    </x:row>
    <x:row r="33">
      <x:c r="A33" s="16"/>
      <x:c r="B33" s="16"/>
      <x:c r="C33" s="16"/>
      <x:c r="D33" s="16"/>
      <x:c r="E33" s="16"/>
      <x:c r="F33" s="16"/>
      <x:c r="G33" s="16"/>
      <x:c r="H33" s="16"/>
      <x:c r="I33" s="16"/>
      <x:c r="J33" s="16"/>
      <x:c r="K33" s="16"/>
      <x:c r="L33" s="16"/>
    </x:row>
    <x:row r="34">
      <x:c r="A34" s="16"/>
      <x:c r="B34" s="16"/>
      <x:c r="C34" s="16"/>
      <x:c r="D34" s="16"/>
      <x:c r="E34" s="16"/>
      <x:c r="F34" s="16"/>
      <x:c r="G34" s="16"/>
      <x:c r="H34" s="16"/>
      <x:c r="I34" s="16"/>
      <x:c r="J34" s="16"/>
      <x:c r="K34" s="16"/>
      <x:c r="L34" s="16"/>
    </x:row>
    <x:row r="35">
      <x:c r="A35" s="16"/>
      <x:c r="B35" s="16"/>
      <x:c r="C35" s="16"/>
      <x:c r="D35" s="16"/>
      <x:c r="E35" s="16"/>
      <x:c r="F35" s="16"/>
      <x:c r="G35" s="16"/>
      <x:c r="H35" s="16"/>
      <x:c r="I35" s="16"/>
      <x:c r="J35" s="16"/>
      <x:c r="K35" s="16"/>
      <x:c r="L35" s="16"/>
    </x:row>
    <x:row r="36">
      <x:c r="A36" s="16"/>
      <x:c r="B36" s="16"/>
      <x:c r="C36" s="16"/>
      <x:c r="D36" s="16"/>
      <x:c r="E36" s="16"/>
      <x:c r="F36" s="16"/>
      <x:c r="G36" s="16"/>
      <x:c r="H36" s="16"/>
      <x:c r="I36" s="16"/>
      <x:c r="J36" s="16"/>
      <x:c r="K36" s="16"/>
      <x:c r="L36" s="16"/>
    </x:row>
    <x:row r="37">
      <x:c r="A37" s="16"/>
      <x:c r="B37" s="16"/>
      <x:c r="C37" s="16"/>
      <x:c r="D37" s="16"/>
      <x:c r="E37" s="16"/>
      <x:c r="F37" s="16"/>
      <x:c r="G37" s="16"/>
      <x:c r="H37" s="16"/>
      <x:c r="I37" s="16"/>
      <x:c r="J37" s="16"/>
      <x:c r="K37" s="16"/>
      <x:c r="L37" s="16"/>
    </x:row>
    <x:row r="38">
      <x:c r="A38" s="16"/>
      <x:c r="B38" s="16"/>
      <x:c r="C38" s="16"/>
      <x:c r="D38" s="16"/>
      <x:c r="E38" s="16"/>
      <x:c r="F38" s="16"/>
      <x:c r="G38" s="16"/>
      <x:c r="H38" s="16"/>
      <x:c r="I38" s="16"/>
      <x:c r="J38" s="16"/>
      <x:c r="K38" s="16"/>
      <x:c r="L38" s="16"/>
    </x:row>
    <x:row r="39">
      <x:c r="A39" s="16"/>
      <x:c r="B39" s="16"/>
      <x:c r="C39" s="16"/>
      <x:c r="D39" s="16"/>
      <x:c r="E39" s="16"/>
      <x:c r="F39" s="16"/>
      <x:c r="G39" s="16"/>
      <x:c r="H39" s="16"/>
      <x:c r="I39" s="16"/>
      <x:c r="J39" s="16"/>
      <x:c r="K39" s="16"/>
      <x:c r="L39" s="16"/>
    </x:row>
    <x:row r="40">
      <x:c r="A40" s="16"/>
      <x:c r="B40" s="16"/>
      <x:c r="C40" s="16"/>
      <x:c r="D40" s="16"/>
      <x:c r="E40" s="16"/>
      <x:c r="F40" s="16"/>
      <x:c r="G40" s="16"/>
      <x:c r="H40" s="16"/>
      <x:c r="I40" s="16"/>
      <x:c r="J40" s="16"/>
      <x:c r="K40" s="16"/>
      <x:c r="L40" s="16"/>
    </x:row>
    <x:row r="41">
      <x:c r="A41" s="16"/>
      <x:c r="B41" s="16"/>
      <x:c r="C41" s="16"/>
      <x:c r="D41" s="16"/>
      <x:c r="E41" s="16"/>
      <x:c r="F41" s="16"/>
      <x:c r="G41" s="16"/>
      <x:c r="H41" s="16"/>
      <x:c r="I41" s="16"/>
      <x:c r="J41" s="16"/>
      <x:c r="K41" s="16"/>
      <x:c r="L41" s="16"/>
    </x:row>
    <x:row r="42">
      <x:c r="A42" s="16"/>
      <x:c r="B42" s="16"/>
      <x:c r="C42" s="16"/>
      <x:c r="D42" s="16"/>
      <x:c r="E42" s="16"/>
      <x:c r="F42" s="16"/>
      <x:c r="G42" s="16"/>
      <x:c r="H42" s="16"/>
      <x:c r="I42" s="16"/>
      <x:c r="J42" s="16"/>
      <x:c r="K42" s="16"/>
      <x:c r="L42" s="16"/>
    </x:row>
    <x:row r="43">
      <x:c r="A43" s="16"/>
      <x:c r="B43" s="16"/>
      <x:c r="C43" s="16"/>
      <x:c r="D43" s="16"/>
      <x:c r="E43" s="16"/>
      <x:c r="F43" s="16"/>
      <x:c r="G43" s="16"/>
      <x:c r="H43" s="16"/>
      <x:c r="I43" s="16"/>
      <x:c r="J43" s="16"/>
      <x:c r="K43" s="16"/>
      <x:c r="L43" s="16"/>
    </x:row>
    <x:row r="44">
      <x:c r="A44" s="16"/>
      <x:c r="B44" s="16"/>
      <x:c r="C44" s="16"/>
      <x:c r="D44" s="16"/>
      <x:c r="E44" s="16"/>
      <x:c r="F44" s="16"/>
      <x:c r="G44" s="16"/>
      <x:c r="H44" s="16"/>
      <x:c r="I44" s="16"/>
      <x:c r="J44" s="16"/>
      <x:c r="K44" s="16"/>
      <x:c r="L44" s="16"/>
    </x:row>
  </x:sheetData>
  <x:mergeCells>
    <x:mergeCell ref="A1:L2"/>
    <x:mergeCell ref="A3:L3"/>
    <x:mergeCell ref="A5:C7"/>
    <x:mergeCell ref="D5:F7"/>
    <x:mergeCell ref="G5:I7"/>
    <x:mergeCell ref="J5:L7"/>
    <x:mergeCell ref="A9:C11"/>
    <x:mergeCell ref="D9:F11"/>
    <x:mergeCell ref="G9:I11"/>
    <x:mergeCell ref="J9:L11"/>
    <x:mergeCell ref="A4:C4"/>
    <x:mergeCell ref="D4:F4"/>
    <x:mergeCell ref="G4:I4"/>
    <x:mergeCell ref="J4:L4"/>
    <x:mergeCell ref="A8:C8"/>
    <x:mergeCell ref="D8:F8"/>
    <x:mergeCell ref="G8:I8"/>
    <x:mergeCell ref="J8:L8"/>
  </x:mergeCells>
  <x:pageMargins left="0.7" right="0.7" top="0.75" bottom="0.75" header="0.3" footer="0.3"/>
  <x:drawing xmlns:r="http://schemas.openxmlformats.org/officeDocument/2006/relationships" r:id="R6b35159556cc4523"/>
</x:worksheet>
</file>

<file path=xl/worksheets/sheet2.xml><?xml version="1.0" encoding="utf-8"?>
<x:worksheet xmlns:x="http://schemas.openxmlformats.org/spreadsheetml/2006/main">
  <x:sheetFormatPr defaultRowHeight="15"/>
  <x:cols>
    <x:col min="1" max="1" width="11.630000114440918" hidden="0" customWidth="1"/>
    <x:col min="2" max="2" width="28" hidden="0" customWidth="1"/>
    <x:col min="3" max="3" width="18" hidden="0" customWidth="1"/>
    <x:col min="4" max="4" width="18" hidden="0" customWidth="1"/>
    <x:col min="5" max="5" width="13.630000114440918" hidden="0" customWidth="1"/>
    <x:col min="6" max="6" width="14.75" hidden="0" customWidth="1"/>
    <x:col min="7" max="7" width="21.3799991607666" hidden="0" customWidth="1"/>
    <x:col min="8" max="8" width="12.25" hidden="0" customWidth="1"/>
    <x:col min="9" max="9" width="16.1299991607666" hidden="0" customWidth="1"/>
    <x:col min="10" max="10" width="18" hidden="0" customWidth="1"/>
    <x:col min="11" max="11" width="18" hidden="0" customWidth="1"/>
    <x:col min="12" max="12" width="18" hidden="0" customWidth="1"/>
  </x:cols>
  <x:sheetData>
    <x:row r="1">
      <x:c r="A1" s="5" t="str">
        <x:v>Contract ID</x:v>
      </x:c>
      <x:c r="B1" s="5" t="str">
        <x:v>Contract Name</x:v>
      </x:c>
      <x:c r="C1" s="5" t="str">
        <x:v>Segment</x:v>
      </x:c>
      <x:c r="D1" s="5" t="str">
        <x:v>Program Manager</x:v>
      </x:c>
      <x:c r="E1" s="5" t="str">
        <x:v>Renewal Date</x:v>
      </x:c>
      <x:c r="F1" s="5" t="str">
        <x:v>Renewal Status</x:v>
      </x:c>
      <x:c r="G1" s="5" t="str">
        <x:v>Initial Revenue Estimate</x:v>
      </x:c>
      <x:c r="H1" s="5" t="str">
        <x:v>Actual Sales</x:v>
      </x:c>
      <x:c r="I1" s="5" t="str">
        <x:v>Actual / Estimate</x:v>
      </x:c>
      <x:c r="J1" s="5" t="str">
        <x:v>Renewal Risk</x:v>
      </x:c>
      <x:c r="K1" s="5" t="str">
        <x:v>Pricing Review</x:v>
      </x:c>
      <x:c r="L1" s="5" t="str">
        <x:v>Margin Status</x:v>
      </x:c>
    </x:row>
    <x:row r="2">
      <x:c r="A2" s="16" t="str">
        <x:v>CTR-1001</x:v>
      </x:c>
      <x:c r="B2" s="16" t="str">
        <x:v>Representative Contract 01</x:v>
      </x:c>
      <x:c r="C2" s="16" t="str">
        <x:v>State</x:v>
      </x:c>
      <x:c r="D2" s="16" t="str">
        <x:v>PM C</x:v>
      </x:c>
      <x:c r="E2" s="17" t="n">
        <x:v>46399</x:v>
      </x:c>
      <x:c r="F2" s="16" t="str">
        <x:v>Pending</x:v>
      </x:c>
      <x:c r="G2" s="18" t="n">
        <x:v>1750000</x:v>
      </x:c>
      <x:c r="H2" s="18" t="n">
        <x:v>1665000</x:v>
      </x:c>
      <x:c r="I2" s="19" t="n">
        <x:v>0.951291337505776</x:v>
      </x:c>
      <x:c r="J2" s="16" t="str">
        <x:v>Low</x:v>
      </x:c>
      <x:c r="K2" s="16" t="str">
        <x:v>No</x:v>
      </x:c>
      <x:c r="L2" s="16" t="str">
        <x:v>Stable</x:v>
      </x:c>
    </x:row>
    <x:row r="3">
      <x:c r="A3" s="16" t="str">
        <x:v>CTR-1002</x:v>
      </x:c>
      <x:c r="B3" s="16" t="str">
        <x:v>Representative Contract 02</x:v>
      </x:c>
      <x:c r="C3" s="16" t="str">
        <x:v>Local</x:v>
      </x:c>
      <x:c r="D3" s="16" t="str">
        <x:v>PM E</x:v>
      </x:c>
      <x:c r="E3" s="17" t="n">
        <x:v>46350</x:v>
      </x:c>
      <x:c r="F3" s="16" t="str">
        <x:v>Pending</x:v>
      </x:c>
      <x:c r="G3" s="18" t="n">
        <x:v>250000</x:v>
      </x:c>
      <x:c r="H3" s="18" t="n">
        <x:v>243000</x:v>
      </x:c>
      <x:c r="I3" s="19" t="n">
        <x:v>0.973175687377936</x:v>
      </x:c>
      <x:c r="J3" s="16" t="str">
        <x:v>Low</x:v>
      </x:c>
      <x:c r="K3" s="16" t="str">
        <x:v>No</x:v>
      </x:c>
      <x:c r="L3" s="16" t="str">
        <x:v>Stable</x:v>
      </x:c>
    </x:row>
    <x:row r="4">
      <x:c r="A4" s="16" t="str">
        <x:v>CTR-1003</x:v>
      </x:c>
      <x:c r="B4" s="16" t="str">
        <x:v>Representative Contract 03</x:v>
      </x:c>
      <x:c r="C4" s="16" t="str">
        <x:v>Commercial</x:v>
      </x:c>
      <x:c r="D4" s="16" t="str">
        <x:v>PM B</x:v>
      </x:c>
      <x:c r="E4" s="17" t="n">
        <x:v>46337</x:v>
      </x:c>
      <x:c r="F4" s="16" t="str">
        <x:v>Pending</x:v>
      </x:c>
      <x:c r="G4" s="18" t="n">
        <x:v>850000</x:v>
      </x:c>
      <x:c r="H4" s="18" t="n">
        <x:v>803000</x:v>
      </x:c>
      <x:c r="I4" s="19" t="n">
        <x:v>0.9446282600447932</x:v>
      </x:c>
      <x:c r="J4" s="16" t="str">
        <x:v>Low</x:v>
      </x:c>
      <x:c r="K4" s="16" t="str">
        <x:v>No</x:v>
      </x:c>
      <x:c r="L4" s="16" t="str">
        <x:v>Stable</x:v>
      </x:c>
    </x:row>
    <x:row r="5">
      <x:c r="A5" s="16" t="str">
        <x:v>CTR-1004</x:v>
      </x:c>
      <x:c r="B5" s="16" t="str">
        <x:v>Representative Contract 04</x:v>
      </x:c>
      <x:c r="C5" s="16" t="str">
        <x:v>Federal</x:v>
      </x:c>
      <x:c r="D5" s="16" t="str">
        <x:v>PM D</x:v>
      </x:c>
      <x:c r="E5" s="17" t="n">
        <x:v>46290</x:v>
      </x:c>
      <x:c r="F5" s="16" t="str">
        <x:v>Renewed</x:v>
      </x:c>
      <x:c r="G5" s="18" t="n">
        <x:v>400000</x:v>
      </x:c>
      <x:c r="H5" s="18" t="n">
        <x:v>513000</x:v>
      </x:c>
      <x:c r="I5" s="19" t="n">
        <x:v>1.2820390997243578</x:v>
      </x:c>
      <x:c r="J5" s="16" t="str">
        <x:v>Low</x:v>
      </x:c>
      <x:c r="K5" s="16" t="str">
        <x:v>No</x:v>
      </x:c>
      <x:c r="L5" s="16" t="str">
        <x:v>Stable</x:v>
      </x:c>
    </x:row>
    <x:row r="6">
      <x:c r="A6" s="16" t="str">
        <x:v>CTR-1005</x:v>
      </x:c>
      <x:c r="B6" s="16" t="str">
        <x:v>Representative Contract 05</x:v>
      </x:c>
      <x:c r="C6" s="16" t="str">
        <x:v>State</x:v>
      </x:c>
      <x:c r="D6" s="16" t="str">
        <x:v>PM A</x:v>
      </x:c>
      <x:c r="E6" s="17" t="n">
        <x:v>46399</x:v>
      </x:c>
      <x:c r="F6" s="16" t="str">
        <x:v>Pending</x:v>
      </x:c>
      <x:c r="G6" s="18" t="n">
        <x:v>1750000</x:v>
      </x:c>
      <x:c r="H6" s="18" t="n">
        <x:v>1825000</x:v>
      </x:c>
      <x:c r="I6" s="19" t="n">
        <x:v>1.0426557179272944</x:v>
      </x:c>
      <x:c r="J6" s="16" t="str">
        <x:v>Low</x:v>
      </x:c>
      <x:c r="K6" s="16" t="str">
        <x:v>No</x:v>
      </x:c>
      <x:c r="L6" s="16" t="str">
        <x:v>Stable</x:v>
      </x:c>
    </x:row>
    <x:row r="7">
      <x:c r="A7" s="16" t="str">
        <x:v>CTR-1006</x:v>
      </x:c>
      <x:c r="B7" s="16" t="str">
        <x:v>Representative Contract 06</x:v>
      </x:c>
      <x:c r="C7" s="16" t="str">
        <x:v>Local</x:v>
      </x:c>
      <x:c r="D7" s="16" t="str">
        <x:v>PM C</x:v>
      </x:c>
      <x:c r="E7" s="17" t="n">
        <x:v>46260</x:v>
      </x:c>
      <x:c r="F7" s="16" t="str">
        <x:v>Renewed</x:v>
      </x:c>
      <x:c r="G7" s="18" t="n">
        <x:v>250000</x:v>
      </x:c>
      <x:c r="H7" s="18" t="n">
        <x:v>285000</x:v>
      </x:c>
      <x:c r="I7" s="19" t="n">
        <x:v>1.1386671523382037</x:v>
      </x:c>
      <x:c r="J7" s="16" t="str">
        <x:v>Low</x:v>
      </x:c>
      <x:c r="K7" s="16" t="str">
        <x:v>Review</x:v>
      </x:c>
      <x:c r="L7" s="16" t="str">
        <x:v>Opportunity</x:v>
      </x:c>
    </x:row>
    <x:row r="8">
      <x:c r="A8" s="16" t="str">
        <x:v>CTR-1007</x:v>
      </x:c>
      <x:c r="B8" s="16" t="str">
        <x:v>Representative Contract 07</x:v>
      </x:c>
      <x:c r="C8" s="16" t="str">
        <x:v>Commercial</x:v>
      </x:c>
      <x:c r="D8" s="16" t="str">
        <x:v>PM E</x:v>
      </x:c>
      <x:c r="E8" s="17" t="n">
        <x:v>46313</x:v>
      </x:c>
      <x:c r="F8" s="16" t="str">
        <x:v>Pending</x:v>
      </x:c>
      <x:c r="G8" s="18" t="n">
        <x:v>1200000</x:v>
      </x:c>
      <x:c r="H8" s="18" t="n">
        <x:v>1483000</x:v>
      </x:c>
      <x:c r="I8" s="19" t="n">
        <x:v>1.2356097623649525</x:v>
      </x:c>
      <x:c r="J8" s="16" t="str">
        <x:v>Low</x:v>
      </x:c>
      <x:c r="K8" s="16" t="str">
        <x:v>Review</x:v>
      </x:c>
      <x:c r="L8" s="16" t="str">
        <x:v>Stable</x:v>
      </x:c>
    </x:row>
    <x:row r="9">
      <x:c r="A9" s="16" t="str">
        <x:v>CTR-1008</x:v>
      </x:c>
      <x:c r="B9" s="16" t="str">
        <x:v>Representative Contract 08</x:v>
      </x:c>
      <x:c r="C9" s="16" t="str">
        <x:v>Federal</x:v>
      </x:c>
      <x:c r="D9" s="16" t="str">
        <x:v>PM B</x:v>
      </x:c>
      <x:c r="E9" s="17" t="n">
        <x:v>46307</x:v>
      </x:c>
      <x:c r="F9" s="16" t="str">
        <x:v>Pending</x:v>
      </x:c>
      <x:c r="G9" s="18" t="n">
        <x:v>1200000</x:v>
      </x:c>
      <x:c r="H9" s="18" t="n">
        <x:v>636000</x:v>
      </x:c>
      <x:c r="I9" s="19" t="n">
        <x:v>0.5297286564978838</x:v>
      </x:c>
      <x:c r="J9" s="16" t="str">
        <x:v>High</x:v>
      </x:c>
      <x:c r="K9" s="16" t="str">
        <x:v>No</x:v>
      </x:c>
      <x:c r="L9" s="16" t="str">
        <x:v>Stable</x:v>
      </x:c>
    </x:row>
    <x:row r="10">
      <x:c r="A10" s="16" t="str">
        <x:v>CTR-1009</x:v>
      </x:c>
      <x:c r="B10" s="16" t="str">
        <x:v>Representative Contract 09</x:v>
      </x:c>
      <x:c r="C10" s="16" t="str">
        <x:v>State</x:v>
      </x:c>
      <x:c r="D10" s="16" t="str">
        <x:v>PM D</x:v>
      </x:c>
      <x:c r="E10" s="17" t="n">
        <x:v>46337</x:v>
      </x:c>
      <x:c r="F10" s="16" t="str">
        <x:v>Pending</x:v>
      </x:c>
      <x:c r="G10" s="18" t="n">
        <x:v>400000</x:v>
      </x:c>
      <x:c r="H10" s="18" t="n">
        <x:v>429000</x:v>
      </x:c>
      <x:c r="I10" s="19" t="n">
        <x:v>1.071695537237566</x:v>
      </x:c>
      <x:c r="J10" s="16" t="str">
        <x:v>Low</x:v>
      </x:c>
      <x:c r="K10" s="16" t="str">
        <x:v>No</x:v>
      </x:c>
      <x:c r="L10" s="16" t="str">
        <x:v>Stable</x:v>
      </x:c>
    </x:row>
    <x:row r="11">
      <x:c r="A11" s="16" t="str">
        <x:v>CTR-1010</x:v>
      </x:c>
      <x:c r="B11" s="16" t="str">
        <x:v>Representative Contract 10</x:v>
      </x:c>
      <x:c r="C11" s="16" t="str">
        <x:v>Local</x:v>
      </x:c>
      <x:c r="D11" s="16" t="str">
        <x:v>PM A</x:v>
      </x:c>
      <x:c r="E11" s="17" t="n">
        <x:v>46337</x:v>
      </x:c>
      <x:c r="F11" s="16" t="str">
        <x:v>Pending</x:v>
      </x:c>
      <x:c r="G11" s="18" t="n">
        <x:v>1200000</x:v>
      </x:c>
      <x:c r="H11" s="18" t="n">
        <x:v>503000</x:v>
      </x:c>
      <x:c r="I11" s="19" t="n">
        <x:v>0.419545292003748</x:v>
      </x:c>
      <x:c r="J11" s="16" t="str">
        <x:v>High</x:v>
      </x:c>
      <x:c r="K11" s="16" t="str">
        <x:v>No</x:v>
      </x:c>
      <x:c r="L11" s="16" t="str">
        <x:v>Stable</x:v>
      </x:c>
    </x:row>
    <x:row r="12">
      <x:c r="A12" s="16" t="str">
        <x:v>CTR-1011</x:v>
      </x:c>
      <x:c r="B12" s="16" t="str">
        <x:v>Representative Contract 11</x:v>
      </x:c>
      <x:c r="C12" s="16" t="str">
        <x:v>Commercial</x:v>
      </x:c>
      <x:c r="D12" s="16" t="str">
        <x:v>PM C</x:v>
      </x:c>
      <x:c r="E12" s="17" t="n">
        <x:v>46260</x:v>
      </x:c>
      <x:c r="F12" s="16" t="str">
        <x:v>Renewed</x:v>
      </x:c>
      <x:c r="G12" s="18" t="n">
        <x:v>400000</x:v>
      </x:c>
      <x:c r="H12" s="18" t="n">
        <x:v>252000</x:v>
      </x:c>
      <x:c r="I12" s="19" t="n">
        <x:v>0.630404779469495</x:v>
      </x:c>
      <x:c r="J12" s="16" t="str">
        <x:v>Medium</x:v>
      </x:c>
      <x:c r="K12" s="16" t="str">
        <x:v>No</x:v>
      </x:c>
      <x:c r="L12" s="16" t="str">
        <x:v>Opportunity</x:v>
      </x:c>
    </x:row>
    <x:row r="13">
      <x:c r="A13" s="16" t="str">
        <x:v>CTR-1012</x:v>
      </x:c>
      <x:c r="B13" s="16" t="str">
        <x:v>Representative Contract 12</x:v>
      </x:c>
      <x:c r="C13" s="16" t="str">
        <x:v>Federal</x:v>
      </x:c>
      <x:c r="D13" s="16" t="str">
        <x:v>PM E</x:v>
      </x:c>
      <x:c r="E13" s="17" t="n">
        <x:v>46260</x:v>
      </x:c>
      <x:c r="F13" s="16" t="str">
        <x:v>Renewed</x:v>
      </x:c>
      <x:c r="G13" s="18" t="n">
        <x:v>1750000</x:v>
      </x:c>
      <x:c r="H13" s="18" t="n">
        <x:v>669000</x:v>
      </x:c>
      <x:c r="I13" s="19" t="n">
        <x:v>0.382385885795559</x:v>
      </x:c>
      <x:c r="J13" s="16" t="str">
        <x:v>High</x:v>
      </x:c>
      <x:c r="K13" s="16" t="str">
        <x:v>No</x:v>
      </x:c>
      <x:c r="L13" s="16" t="str">
        <x:v>Stable</x:v>
      </x:c>
    </x:row>
    <x:row r="14">
      <x:c r="A14" s="16" t="str">
        <x:v>CTR-1013</x:v>
      </x:c>
      <x:c r="B14" s="16" t="str">
        <x:v>Representative Contract 13</x:v>
      </x:c>
      <x:c r="C14" s="16" t="str">
        <x:v>State</x:v>
      </x:c>
      <x:c r="D14" s="16" t="str">
        <x:v>PM B</x:v>
      </x:c>
      <x:c r="E14" s="17" t="n">
        <x:v>46313</x:v>
      </x:c>
      <x:c r="F14" s="16" t="str">
        <x:v>Pending</x:v>
      </x:c>
      <x:c r="G14" s="18" t="n">
        <x:v>600000</x:v>
      </x:c>
      <x:c r="H14" s="18" t="n">
        <x:v>426000</x:v>
      </x:c>
      <x:c r="I14" s="19" t="n">
        <x:v>0.7096263847327653</x:v>
      </x:c>
      <x:c r="J14" s="16" t="str">
        <x:v>Medium</x:v>
      </x:c>
      <x:c r="K14" s="16" t="str">
        <x:v>No</x:v>
      </x:c>
      <x:c r="L14" s="16" t="str">
        <x:v>Opportunity</x:v>
      </x:c>
    </x:row>
    <x:row r="15">
      <x:c r="A15" s="16" t="str">
        <x:v>CTR-1014</x:v>
      </x:c>
      <x:c r="B15" s="16" t="str">
        <x:v>Representative Contract 14</x:v>
      </x:c>
      <x:c r="C15" s="16" t="str">
        <x:v>Local</x:v>
      </x:c>
      <x:c r="D15" s="16" t="str">
        <x:v>PM D</x:v>
      </x:c>
      <x:c r="E15" s="17" t="n">
        <x:v>46247</x:v>
      </x:c>
      <x:c r="F15" s="16" t="str">
        <x:v>Renewed</x:v>
      </x:c>
      <x:c r="G15" s="18" t="n">
        <x:v>400000</x:v>
      </x:c>
      <x:c r="H15" s="18" t="n">
        <x:v>388000</x:v>
      </x:c>
      <x:c r="I15" s="19" t="n">
        <x:v>0.9704252375319934</x:v>
      </x:c>
      <x:c r="J15" s="16" t="str">
        <x:v>Low</x:v>
      </x:c>
      <x:c r="K15" s="16" t="str">
        <x:v>Review</x:v>
      </x:c>
      <x:c r="L15" s="16" t="str">
        <x:v>Opportunity</x:v>
      </x:c>
    </x:row>
    <x:row r="16">
      <x:c r="A16" s="16" t="str">
        <x:v>CTR-1015</x:v>
      </x:c>
      <x:c r="B16" s="16" t="str">
        <x:v>Representative Contract 15</x:v>
      </x:c>
      <x:c r="C16" s="16" t="str">
        <x:v>Commercial</x:v>
      </x:c>
      <x:c r="D16" s="16" t="str">
        <x:v>PM A</x:v>
      </x:c>
      <x:c r="E16" s="17" t="n">
        <x:v>46290</x:v>
      </x:c>
      <x:c r="F16" s="16" t="str">
        <x:v>Renewed</x:v>
      </x:c>
      <x:c r="G16" s="18" t="n">
        <x:v>400000</x:v>
      </x:c>
      <x:c r="H16" s="18" t="n">
        <x:v>356000</x:v>
      </x:c>
      <x:c r="I16" s="19" t="n">
        <x:v>0.8910094574498628</x:v>
      </x:c>
      <x:c r="J16" s="16" t="str">
        <x:v>Low</x:v>
      </x:c>
      <x:c r="K16" s="16" t="str">
        <x:v>No</x:v>
      </x:c>
      <x:c r="L16" s="16" t="str">
        <x:v>Stable</x:v>
      </x:c>
    </x:row>
    <x:row r="17">
      <x:c r="A17" s="16" t="str">
        <x:v>CTR-1016</x:v>
      </x:c>
      <x:c r="B17" s="16" t="str">
        <x:v>Representative Contract 16</x:v>
      </x:c>
      <x:c r="C17" s="16" t="str">
        <x:v>Federal</x:v>
      </x:c>
      <x:c r="D17" s="16" t="str">
        <x:v>PM C</x:v>
      </x:c>
      <x:c r="E17" s="17" t="n">
        <x:v>46274</x:v>
      </x:c>
      <x:c r="F17" s="16" t="str">
        <x:v>Renewed</x:v>
      </x:c>
      <x:c r="G17" s="18" t="n">
        <x:v>1200000</x:v>
      </x:c>
      <x:c r="H17" s="18" t="n">
        <x:v>1066000</x:v>
      </x:c>
      <x:c r="I17" s="19" t="n">
        <x:v>0.8881716770004933</x:v>
      </x:c>
      <x:c r="J17" s="16" t="str">
        <x:v>Low</x:v>
      </x:c>
      <x:c r="K17" s="16" t="str">
        <x:v>Review</x:v>
      </x:c>
      <x:c r="L17" s="16" t="str">
        <x:v>Stable</x:v>
      </x:c>
    </x:row>
    <x:row r="18">
      <x:c r="A18" s="16" t="str">
        <x:v>CTR-1017</x:v>
      </x:c>
      <x:c r="B18" s="16" t="str">
        <x:v>Representative Contract 17</x:v>
      </x:c>
      <x:c r="C18" s="16" t="str">
        <x:v>State</x:v>
      </x:c>
      <x:c r="D18" s="16" t="str">
        <x:v>PM E</x:v>
      </x:c>
      <x:c r="E18" s="17" t="n">
        <x:v>46363</x:v>
      </x:c>
      <x:c r="F18" s="16" t="str">
        <x:v>Pending</x:v>
      </x:c>
      <x:c r="G18" s="18" t="n">
        <x:v>400000</x:v>
      </x:c>
      <x:c r="H18" s="18" t="n">
        <x:v>435000</x:v>
      </x:c>
      <x:c r="I18" s="19" t="n">
        <x:v>1.0887365889650256</x:v>
      </x:c>
      <x:c r="J18" s="16" t="str">
        <x:v>Low</x:v>
      </x:c>
      <x:c r="K18" s="16" t="str">
        <x:v>Review</x:v>
      </x:c>
      <x:c r="L18" s="16" t="str">
        <x:v>Opportunity</x:v>
      </x:c>
    </x:row>
    <x:row r="19">
      <x:c r="A19" s="16" t="str">
        <x:v>CTR-1018</x:v>
      </x:c>
      <x:c r="B19" s="16" t="str">
        <x:v>Representative Contract 18</x:v>
      </x:c>
      <x:c r="C19" s="16" t="str">
        <x:v>Local</x:v>
      </x:c>
      <x:c r="D19" s="16" t="str">
        <x:v>PM B</x:v>
      </x:c>
      <x:c r="E19" s="17" t="n">
        <x:v>46329</x:v>
      </x:c>
      <x:c r="F19" s="16" t="str">
        <x:v>Pending</x:v>
      </x:c>
      <x:c r="G19" s="18" t="n">
        <x:v>600000</x:v>
      </x:c>
      <x:c r="H19" s="18" t="n">
        <x:v>254000</x:v>
      </x:c>
      <x:c r="I19" s="19" t="n">
        <x:v>0.4237636182029106</x:v>
      </x:c>
      <x:c r="J19" s="16" t="str">
        <x:v>High</x:v>
      </x:c>
      <x:c r="K19" s="16" t="str">
        <x:v>No</x:v>
      </x:c>
      <x:c r="L19" s="16" t="str">
        <x:v>Stable</x:v>
      </x:c>
    </x:row>
    <x:row r="20">
      <x:c r="A20" s="16" t="str">
        <x:v>CTR-1019</x:v>
      </x:c>
      <x:c r="B20" s="16" t="str">
        <x:v>Representative Contract 19</x:v>
      </x:c>
      <x:c r="C20" s="16" t="str">
        <x:v>Commercial</x:v>
      </x:c>
      <x:c r="D20" s="16" t="str">
        <x:v>PM D</x:v>
      </x:c>
      <x:c r="E20" s="17" t="n">
        <x:v>46247</x:v>
      </x:c>
      <x:c r="F20" s="16" t="str">
        <x:v>Renewed</x:v>
      </x:c>
      <x:c r="G20" s="18" t="n">
        <x:v>1750000</x:v>
      </x:c>
      <x:c r="H20" s="18" t="n">
        <x:v>1483000</x:v>
      </x:c>
      <x:c r="I20" s="19" t="n">
        <x:v>0.8472289585033403</x:v>
      </x:c>
      <x:c r="J20" s="16" t="str">
        <x:v>Medium</x:v>
      </x:c>
      <x:c r="K20" s="16" t="str">
        <x:v>No</x:v>
      </x:c>
      <x:c r="L20" s="16" t="str">
        <x:v>Opportunity</x:v>
      </x:c>
    </x:row>
    <x:row r="21">
      <x:c r="A21" s="16" t="str">
        <x:v>CTR-1020</x:v>
      </x:c>
      <x:c r="B21" s="16" t="str">
        <x:v>Representative Contract 20</x:v>
      </x:c>
      <x:c r="C21" s="16" t="str">
        <x:v>Federal</x:v>
      </x:c>
      <x:c r="D21" s="16" t="str">
        <x:v>PM A</x:v>
      </x:c>
      <x:c r="E21" s="17" t="n">
        <x:v>46329</x:v>
      </x:c>
      <x:c r="F21" s="16" t="str">
        <x:v>Pending</x:v>
      </x:c>
      <x:c r="G21" s="18" t="n">
        <x:v>2400000</x:v>
      </x:c>
      <x:c r="H21" s="18" t="n">
        <x:v>2138000</x:v>
      </x:c>
      <x:c r="I21" s="19" t="n">
        <x:v>0.8909689895288909</x:v>
      </x:c>
      <x:c r="J21" s="16" t="str">
        <x:v>Low</x:v>
      </x:c>
      <x:c r="K21" s="16" t="str">
        <x:v>No</x:v>
      </x:c>
      <x:c r="L21" s="16" t="str">
        <x:v>Stable</x:v>
      </x:c>
    </x:row>
    <x:row r="22">
      <x:c r="A22" s="16" t="str">
        <x:v>CTR-1021</x:v>
      </x:c>
      <x:c r="B22" s="16" t="str">
        <x:v>Representative Contract 21</x:v>
      </x:c>
      <x:c r="C22" s="16" t="str">
        <x:v>State</x:v>
      </x:c>
      <x:c r="D22" s="16" t="str">
        <x:v>PM C</x:v>
      </x:c>
      <x:c r="E22" s="17" t="n">
        <x:v>46260</x:v>
      </x:c>
      <x:c r="F22" s="16" t="str">
        <x:v>Renewed</x:v>
      </x:c>
      <x:c r="G22" s="18" t="n">
        <x:v>600000</x:v>
      </x:c>
      <x:c r="H22" s="18" t="n">
        <x:v>555000</x:v>
      </x:c>
      <x:c r="I22" s="19" t="n">
        <x:v>0.9248194362540055</x:v>
      </x:c>
      <x:c r="J22" s="16" t="str">
        <x:v>Low</x:v>
      </x:c>
      <x:c r="K22" s="16" t="str">
        <x:v>Review</x:v>
      </x:c>
      <x:c r="L22" s="16" t="str">
        <x:v>Stable</x:v>
      </x:c>
    </x:row>
    <x:row r="23">
      <x:c r="A23" s="16" t="str">
        <x:v>CTR-1022</x:v>
      </x:c>
      <x:c r="B23" s="16" t="str">
        <x:v>Representative Contract 22</x:v>
      </x:c>
      <x:c r="C23" s="16" t="str">
        <x:v>Local</x:v>
      </x:c>
      <x:c r="D23" s="16" t="str">
        <x:v>PM E</x:v>
      </x:c>
      <x:c r="E23" s="17" t="n">
        <x:v>46329</x:v>
      </x:c>
      <x:c r="F23" s="16" t="str">
        <x:v>Pending</x:v>
      </x:c>
      <x:c r="G23" s="18" t="n">
        <x:v>2400000</x:v>
      </x:c>
      <x:c r="H23" s="18" t="n">
        <x:v>2307000</x:v>
      </x:c>
      <x:c r="I23" s="19" t="n">
        <x:v>0.9612594860464792</x:v>
      </x:c>
      <x:c r="J23" s="16" t="str">
        <x:v>Low</x:v>
      </x:c>
      <x:c r="K23" s="16" t="str">
        <x:v>No</x:v>
      </x:c>
      <x:c r="L23" s="16" t="str">
        <x:v>Stable</x:v>
      </x:c>
    </x:row>
    <x:row r="24">
      <x:c r="A24" s="16" t="str">
        <x:v>CTR-1023</x:v>
      </x:c>
      <x:c r="B24" s="16" t="str">
        <x:v>Representative Contract 23</x:v>
      </x:c>
      <x:c r="C24" s="16" t="str">
        <x:v>Commercial</x:v>
      </x:c>
      <x:c r="D24" s="16" t="str">
        <x:v>PM B</x:v>
      </x:c>
      <x:c r="E24" s="17" t="n">
        <x:v>46313</x:v>
      </x:c>
      <x:c r="F24" s="16" t="str">
        <x:v>Pending</x:v>
      </x:c>
      <x:c r="G24" s="18" t="n">
        <x:v>2400000</x:v>
      </x:c>
      <x:c r="H24" s="18" t="n">
        <x:v>1752000</x:v>
      </x:c>
      <x:c r="I24" s="19" t="n">
        <x:v>0.72993232144038</x:v>
      </x:c>
      <x:c r="J24" s="16" t="str">
        <x:v>Medium</x:v>
      </x:c>
      <x:c r="K24" s="16" t="str">
        <x:v>No</x:v>
      </x:c>
      <x:c r="L24" s="16" t="str">
        <x:v>Stable</x:v>
      </x:c>
    </x:row>
    <x:row r="25">
      <x:c r="A25" s="16" t="str">
        <x:v>CTR-1024</x:v>
      </x:c>
      <x:c r="B25" s="16" t="str">
        <x:v>Representative Contract 24</x:v>
      </x:c>
      <x:c r="C25" s="16" t="str">
        <x:v>Federal</x:v>
      </x:c>
      <x:c r="D25" s="16" t="str">
        <x:v>PM D</x:v>
      </x:c>
      <x:c r="E25" s="17" t="n">
        <x:v>46420</x:v>
      </x:c>
      <x:c r="F25" s="16" t="str">
        <x:v>Pending</x:v>
      </x:c>
      <x:c r="G25" s="18" t="n">
        <x:v>1200000</x:v>
      </x:c>
      <x:c r="H25" s="18" t="n">
        <x:v>1550000</x:v>
      </x:c>
      <x:c r="I25" s="19" t="n">
        <x:v>1.2912545779083926</x:v>
      </x:c>
      <x:c r="J25" s="16" t="str">
        <x:v>Low</x:v>
      </x:c>
      <x:c r="K25" s="16" t="str">
        <x:v>No</x:v>
      </x:c>
      <x:c r="L25" s="16" t="str">
        <x:v>Opportunity</x:v>
      </x:c>
    </x:row>
    <x:row r="26">
      <x:c r="A26" s="16" t="str">
        <x:v>CTR-1025</x:v>
      </x:c>
      <x:c r="B26" s="16" t="str">
        <x:v>Representative Contract 25</x:v>
      </x:c>
      <x:c r="C26" s="16" t="str">
        <x:v>State</x:v>
      </x:c>
      <x:c r="D26" s="16" t="str">
        <x:v>PM A</x:v>
      </x:c>
      <x:c r="E26" s="17" t="n">
        <x:v>46322</x:v>
      </x:c>
      <x:c r="F26" s="16" t="str">
        <x:v>Pending</x:v>
      </x:c>
      <x:c r="G26" s="18" t="n">
        <x:v>600000</x:v>
      </x:c>
      <x:c r="H26" s="18" t="n">
        <x:v>249000</x:v>
      </x:c>
      <x:c r="I26" s="19" t="n">
        <x:v>0.4147841429834764</x:v>
      </x:c>
      <x:c r="J26" s="16" t="str">
        <x:v>High</x:v>
      </x:c>
      <x:c r="K26" s="16" t="str">
        <x:v>No</x:v>
      </x:c>
      <x:c r="L26" s="16" t="str">
        <x:v>Stable</x:v>
      </x:c>
    </x:row>
    <x:row r="27">
      <x:c r="A27" s="16" t="str">
        <x:v>CTR-1026</x:v>
      </x:c>
      <x:c r="B27" s="16" t="str">
        <x:v>Representative Contract 26</x:v>
      </x:c>
      <x:c r="C27" s="16" t="str">
        <x:v>Local</x:v>
      </x:c>
      <x:c r="D27" s="16" t="str">
        <x:v>PM C</x:v>
      </x:c>
      <x:c r="E27" s="17" t="n">
        <x:v>46399</x:v>
      </x:c>
      <x:c r="F27" s="16" t="str">
        <x:v>Pending</x:v>
      </x:c>
      <x:c r="G27" s="18" t="n">
        <x:v>600000</x:v>
      </x:c>
      <x:c r="H27" s="18" t="n">
        <x:v>759000</x:v>
      </x:c>
      <x:c r="I27" s="19" t="n">
        <x:v>1.2648543289936123</x:v>
      </x:c>
      <x:c r="J27" s="16" t="str">
        <x:v>Low</x:v>
      </x:c>
      <x:c r="K27" s="16" t="str">
        <x:v>No</x:v>
      </x:c>
      <x:c r="L27" s="16" t="str">
        <x:v>Stable</x:v>
      </x:c>
    </x:row>
    <x:row r="28">
      <x:c r="A28" s="16" t="str">
        <x:v>CTR-1027</x:v>
      </x:c>
      <x:c r="B28" s="16" t="str">
        <x:v>Representative Contract 27</x:v>
      </x:c>
      <x:c r="C28" s="16" t="str">
        <x:v>Commercial</x:v>
      </x:c>
      <x:c r="D28" s="16" t="str">
        <x:v>PM E</x:v>
      </x:c>
      <x:c r="E28" s="17" t="n">
        <x:v>46420</x:v>
      </x:c>
      <x:c r="F28" s="16" t="str">
        <x:v>Pending</x:v>
      </x:c>
      <x:c r="G28" s="18" t="n">
        <x:v>400000</x:v>
      </x:c>
      <x:c r="H28" s="18" t="n">
        <x:v>419000</x:v>
      </x:c>
      <x:c r="I28" s="19" t="n">
        <x:v>1.046856570297259</x:v>
      </x:c>
      <x:c r="J28" s="16" t="str">
        <x:v>Low</x:v>
      </x:c>
      <x:c r="K28" s="16" t="str">
        <x:v>Review</x:v>
      </x:c>
      <x:c r="L28" s="16" t="str">
        <x:v>Opportunity</x:v>
      </x:c>
    </x:row>
    <x:row r="29">
      <x:c r="A29" s="16" t="str">
        <x:v>CTR-1028</x:v>
      </x:c>
      <x:c r="B29" s="16" t="str">
        <x:v>Representative Contract 28</x:v>
      </x:c>
      <x:c r="C29" s="16" t="str">
        <x:v>Federal</x:v>
      </x:c>
      <x:c r="D29" s="16" t="str">
        <x:v>PM B</x:v>
      </x:c>
      <x:c r="E29" s="17" t="n">
        <x:v>46322</x:v>
      </x:c>
      <x:c r="F29" s="16" t="str">
        <x:v>Pending</x:v>
      </x:c>
      <x:c r="G29" s="18" t="n">
        <x:v>600000</x:v>
      </x:c>
      <x:c r="H29" s="18" t="n">
        <x:v>700000</x:v>
      </x:c>
      <x:c r="I29" s="19" t="n">
        <x:v>1.1665025597210412</x:v>
      </x:c>
      <x:c r="J29" s="16" t="str">
        <x:v>Low</x:v>
      </x:c>
      <x:c r="K29" s="16" t="str">
        <x:v>No</x:v>
      </x:c>
      <x:c r="L29" s="16" t="str">
        <x:v>Opportunity</x:v>
      </x:c>
    </x:row>
    <x:row r="30">
      <x:c r="A30" s="16" t="str">
        <x:v>CTR-1029</x:v>
      </x:c>
      <x:c r="B30" s="16" t="str">
        <x:v>Representative Contract 29</x:v>
      </x:c>
      <x:c r="C30" s="16" t="str">
        <x:v>State</x:v>
      </x:c>
      <x:c r="D30" s="16" t="str">
        <x:v>PM D</x:v>
      </x:c>
      <x:c r="E30" s="17" t="n">
        <x:v>46307</x:v>
      </x:c>
      <x:c r="F30" s="16" t="str">
        <x:v>Pending</x:v>
      </x:c>
      <x:c r="G30" s="18" t="n">
        <x:v>850000</x:v>
      </x:c>
      <x:c r="H30" s="18" t="n">
        <x:v>498000</x:v>
      </x:c>
      <x:c r="I30" s="19" t="n">
        <x:v>0.585931594914383</x:v>
      </x:c>
      <x:c r="J30" s="16" t="str">
        <x:v>High</x:v>
      </x:c>
      <x:c r="K30" s="16" t="str">
        <x:v>No</x:v>
      </x:c>
      <x:c r="L30" s="16" t="str">
        <x:v>Stable</x:v>
      </x:c>
    </x:row>
    <x:row r="31">
      <x:c r="A31" s="16" t="str">
        <x:v>CTR-1030</x:v>
      </x:c>
      <x:c r="B31" s="16" t="str">
        <x:v>Representative Contract 30</x:v>
      </x:c>
      <x:c r="C31" s="16" t="str">
        <x:v>Local</x:v>
      </x:c>
      <x:c r="D31" s="16" t="str">
        <x:v>PM A</x:v>
      </x:c>
      <x:c r="E31" s="17" t="n">
        <x:v>46223</x:v>
      </x:c>
      <x:c r="F31" s="16" t="str">
        <x:v>Renewed</x:v>
      </x:c>
      <x:c r="G31" s="18" t="n">
        <x:v>250000</x:v>
      </x:c>
      <x:c r="H31" s="18" t="n">
        <x:v>318000</x:v>
      </x:c>
      <x:c r="I31" s="19" t="n">
        <x:v>1.2707959361063086</x:v>
      </x:c>
      <x:c r="J31" s="16" t="str">
        <x:v>Low</x:v>
      </x:c>
      <x:c r="K31" s="16" t="str">
        <x:v>No</x:v>
      </x:c>
      <x:c r="L31" s="16" t="str">
        <x:v>Stable</x:v>
      </x:c>
    </x:row>
    <x:row r="32">
      <x:c r="A32" s="16" t="str">
        <x:v>CTR-1031</x:v>
      </x:c>
      <x:c r="B32" s="16" t="str">
        <x:v>Representative Contract 31</x:v>
      </x:c>
      <x:c r="C32" s="16" t="str">
        <x:v>Commercial</x:v>
      </x:c>
      <x:c r="D32" s="16" t="str">
        <x:v>PM C</x:v>
      </x:c>
      <x:c r="E32" s="17" t="n">
        <x:v>46283</x:v>
      </x:c>
      <x:c r="F32" s="16" t="str">
        <x:v>Renewed</x:v>
      </x:c>
      <x:c r="G32" s="18" t="n">
        <x:v>1750000</x:v>
      </x:c>
      <x:c r="H32" s="18" t="n">
        <x:v>1564000</x:v>
      </x:c>
      <x:c r="I32" s="19" t="n">
        <x:v>0.8936069828721297</x:v>
      </x:c>
      <x:c r="J32" s="16" t="str">
        <x:v>Low</x:v>
      </x:c>
      <x:c r="K32" s="16" t="str">
        <x:v>No</x:v>
      </x:c>
      <x:c r="L32" s="16" t="str">
        <x:v>Stable</x:v>
      </x:c>
    </x:row>
    <x:row r="33">
      <x:c r="A33" s="16" t="str">
        <x:v>CTR-1032</x:v>
      </x:c>
      <x:c r="B33" s="16" t="str">
        <x:v>Representative Contract 32</x:v>
      </x:c>
      <x:c r="C33" s="16" t="str">
        <x:v>Federal</x:v>
      </x:c>
      <x:c r="D33" s="16" t="str">
        <x:v>PM E</x:v>
      </x:c>
      <x:c r="E33" s="17" t="n">
        <x:v>46337</x:v>
      </x:c>
      <x:c r="F33" s="16" t="str">
        <x:v>Pending</x:v>
      </x:c>
      <x:c r="G33" s="18" t="n">
        <x:v>850000</x:v>
      </x:c>
      <x:c r="H33" s="18" t="n">
        <x:v>978000</x:v>
      </x:c>
      <x:c r="I33" s="19" t="n">
        <x:v>1.1506482229148884</x:v>
      </x:c>
      <x:c r="J33" s="16" t="str">
        <x:v>Low</x:v>
      </x:c>
      <x:c r="K33" s="16" t="str">
        <x:v>No</x:v>
      </x:c>
      <x:c r="L33" s="16" t="str">
        <x:v>Stable</x:v>
      </x:c>
    </x:row>
    <x:row r="34">
      <x:c r="A34" s="16" t="str">
        <x:v>CTR-1033</x:v>
      </x:c>
      <x:c r="B34" s="16" t="str">
        <x:v>Representative Contract 33</x:v>
      </x:c>
      <x:c r="C34" s="16" t="str">
        <x:v>State</x:v>
      </x:c>
      <x:c r="D34" s="16" t="str">
        <x:v>PM B</x:v>
      </x:c>
      <x:c r="E34" s="17" t="n">
        <x:v>46290</x:v>
      </x:c>
      <x:c r="F34" s="16" t="str">
        <x:v>Renewed</x:v>
      </x:c>
      <x:c r="G34" s="18" t="n">
        <x:v>850000</x:v>
      </x:c>
      <x:c r="H34" s="18" t="n">
        <x:v>976000</x:v>
      </x:c>
      <x:c r="I34" s="19" t="n">
        <x:v>1.1477312813989395</x:v>
      </x:c>
      <x:c r="J34" s="16" t="str">
        <x:v>Low</x:v>
      </x:c>
      <x:c r="K34" s="16" t="str">
        <x:v>Review</x:v>
      </x:c>
      <x:c r="L34" s="16" t="str">
        <x:v>Stable</x:v>
      </x:c>
    </x:row>
    <x:row r="35">
      <x:c r="A35" s="16" t="str">
        <x:v>CTR-1034</x:v>
      </x:c>
      <x:c r="B35" s="16" t="str">
        <x:v>Representative Contract 34</x:v>
      </x:c>
      <x:c r="C35" s="16" t="str">
        <x:v>Local</x:v>
      </x:c>
      <x:c r="D35" s="16" t="str">
        <x:v>PM D</x:v>
      </x:c>
      <x:c r="E35" s="17" t="n">
        <x:v>46283</x:v>
      </x:c>
      <x:c r="F35" s="16" t="str">
        <x:v>Renewed</x:v>
      </x:c>
      <x:c r="G35" s="18" t="n">
        <x:v>850000</x:v>
      </x:c>
      <x:c r="H35" s="18" t="n">
        <x:v>619000</x:v>
      </x:c>
      <x:c r="I35" s="19" t="n">
        <x:v>0.7284007843648329</x:v>
      </x:c>
      <x:c r="J35" s="16" t="str">
        <x:v>Medium</x:v>
      </x:c>
      <x:c r="K35" s="16" t="str">
        <x:v>No</x:v>
      </x:c>
      <x:c r="L35" s="16" t="str">
        <x:v>Stable</x:v>
      </x:c>
    </x:row>
    <x:row r="36">
      <x:c r="A36" s="16" t="str">
        <x:v>CTR-1035</x:v>
      </x:c>
      <x:c r="B36" s="16" t="str">
        <x:v>Representative Contract 35</x:v>
      </x:c>
      <x:c r="C36" s="16" t="str">
        <x:v>Commercial</x:v>
      </x:c>
      <x:c r="D36" s="16" t="str">
        <x:v>PM A</x:v>
      </x:c>
      <x:c r="E36" s="17" t="n">
        <x:v>46223</x:v>
      </x:c>
      <x:c r="F36" s="16" t="str">
        <x:v>Renewed</x:v>
      </x:c>
      <x:c r="G36" s="18" t="n">
        <x:v>1750000</x:v>
      </x:c>
      <x:c r="H36" s="18" t="n">
        <x:v>678000</x:v>
      </x:c>
      <x:c r="I36" s="19" t="n">
        <x:v>0.3876645352081435</x:v>
      </x:c>
      <x:c r="J36" s="16" t="str">
        <x:v>High</x:v>
      </x:c>
      <x:c r="K36" s="16" t="str">
        <x:v>No</x:v>
      </x:c>
      <x:c r="L36" s="16" t="str">
        <x:v>Opportunity</x:v>
      </x:c>
    </x:row>
    <x:row r="37">
      <x:c r="A37" s="16" t="str">
        <x:v>CTR-1036</x:v>
      </x:c>
      <x:c r="B37" s="16" t="str">
        <x:v>Representative Contract 36</x:v>
      </x:c>
      <x:c r="C37" s="16" t="str">
        <x:v>Federal</x:v>
      </x:c>
      <x:c r="D37" s="16" t="str">
        <x:v>PM C</x:v>
      </x:c>
      <x:c r="E37" s="17" t="n">
        <x:v>46399</x:v>
      </x:c>
      <x:c r="F37" s="16" t="str">
        <x:v>Pending</x:v>
      </x:c>
      <x:c r="G37" s="18" t="n">
        <x:v>400000</x:v>
      </x:c>
      <x:c r="H37" s="18" t="n">
        <x:v>491000</x:v>
      </x:c>
      <x:c r="I37" s="19" t="n">
        <x:v>1.2273436894261325</x:v>
      </x:c>
      <x:c r="J37" s="16" t="str">
        <x:v>Low</x:v>
      </x:c>
      <x:c r="K37" s="16" t="str">
        <x:v>Review</x:v>
      </x:c>
      <x:c r="L37" s="16" t="str">
        <x:v>Opportunity</x:v>
      </x:c>
    </x:row>
    <x:row r="38">
      <x:c r="A38" s="16" t="str">
        <x:v>CTR-1037</x:v>
      </x:c>
      <x:c r="B38" s="16" t="str">
        <x:v>Representative Contract 37</x:v>
      </x:c>
      <x:c r="C38" s="16" t="str">
        <x:v>State</x:v>
      </x:c>
      <x:c r="D38" s="16" t="str">
        <x:v>PM E</x:v>
      </x:c>
      <x:c r="E38" s="17" t="n">
        <x:v>46383</x:v>
      </x:c>
      <x:c r="F38" s="16" t="str">
        <x:v>Pending</x:v>
      </x:c>
      <x:c r="G38" s="18" t="n">
        <x:v>1750000</x:v>
      </x:c>
      <x:c r="H38" s="18" t="n">
        <x:v>895000</x:v>
      </x:c>
      <x:c r="I38" s="19" t="n">
        <x:v>0.511162230246484</x:v>
      </x:c>
      <x:c r="J38" s="16" t="str">
        <x:v>High</x:v>
      </x:c>
      <x:c r="K38" s="16" t="str">
        <x:v>No</x:v>
      </x:c>
      <x:c r="L38" s="16" t="str">
        <x:v>Stable</x:v>
      </x:c>
    </x:row>
    <x:row r="39">
      <x:c r="A39" s="16" t="str">
        <x:v>CTR-1038</x:v>
      </x:c>
      <x:c r="B39" s="16" t="str">
        <x:v>Representative Contract 38</x:v>
      </x:c>
      <x:c r="C39" s="16" t="str">
        <x:v>Local</x:v>
      </x:c>
      <x:c r="D39" s="16" t="str">
        <x:v>PM B</x:v>
      </x:c>
      <x:c r="E39" s="17" t="n">
        <x:v>46383</x:v>
      </x:c>
      <x:c r="F39" s="16" t="str">
        <x:v>Pending</x:v>
      </x:c>
      <x:c r="G39" s="18" t="n">
        <x:v>1750000</x:v>
      </x:c>
      <x:c r="H39" s="18" t="n">
        <x:v>2176000</x:v>
      </x:c>
      <x:c r="I39" s="19" t="n">
        <x:v>1.243576406972399</x:v>
      </x:c>
      <x:c r="J39" s="16" t="str">
        <x:v>Low</x:v>
      </x:c>
      <x:c r="K39" s="16" t="str">
        <x:v>Review</x:v>
      </x:c>
      <x:c r="L39" s="16" t="str">
        <x:v>Stable</x:v>
      </x:c>
    </x:row>
    <x:row r="40">
      <x:c r="A40" s="16" t="str">
        <x:v>CTR-1039</x:v>
      </x:c>
      <x:c r="B40" s="16" t="str">
        <x:v>Representative Contract 39</x:v>
      </x:c>
      <x:c r="C40" s="16" t="str">
        <x:v>Commercial</x:v>
      </x:c>
      <x:c r="D40" s="16" t="str">
        <x:v>PM D</x:v>
      </x:c>
      <x:c r="E40" s="17" t="n">
        <x:v>46363</x:v>
      </x:c>
      <x:c r="F40" s="16" t="str">
        <x:v>Pending</x:v>
      </x:c>
      <x:c r="G40" s="18" t="n">
        <x:v>600000</x:v>
      </x:c>
      <x:c r="H40" s="18" t="n">
        <x:v>676000</x:v>
      </x:c>
      <x:c r="I40" s="19" t="n">
        <x:v>1.1272468078941502</x:v>
      </x:c>
      <x:c r="J40" s="16" t="str">
        <x:v>Low</x:v>
      </x:c>
      <x:c r="K40" s="16" t="str">
        <x:v>No</x:v>
      </x:c>
      <x:c r="L40" s="16" t="str">
        <x:v>Stable</x:v>
      </x:c>
    </x:row>
    <x:row r="41">
      <x:c r="A41" s="16" t="str">
        <x:v>CTR-1040</x:v>
      </x:c>
      <x:c r="B41" s="16" t="str">
        <x:v>Representative Contract 40</x:v>
      </x:c>
      <x:c r="C41" s="16" t="str">
        <x:v>Federal</x:v>
      </x:c>
      <x:c r="D41" s="16" t="str">
        <x:v>PM A</x:v>
      </x:c>
      <x:c r="E41" s="17" t="n">
        <x:v>46399</x:v>
      </x:c>
      <x:c r="F41" s="16" t="str">
        <x:v>Pending</x:v>
      </x:c>
      <x:c r="G41" s="18" t="n">
        <x:v>850000</x:v>
      </x:c>
      <x:c r="H41" s="18" t="n">
        <x:v>809000</x:v>
      </x:c>
      <x:c r="I41" s="19" t="n">
        <x:v>0.9518530738332751</x:v>
      </x:c>
      <x:c r="J41" s="16" t="str">
        <x:v>Low</x:v>
      </x:c>
      <x:c r="K41" s="16" t="str">
        <x:v>No</x:v>
      </x:c>
      <x:c r="L41" s="16" t="str">
        <x:v>Stable</x:v>
      </x:c>
    </x:row>
  </x:sheetData>
  <x:conditionalFormatting sqref="I2:I41">
    <x:cfRule type="colorScale" priority="1">
      <x:colorScale>
        <x:cfvo type="min"/>
        <x:cfvo type="percentile" val="50"/>
        <x:cfvo type="max"/>
        <x:color rgb="FFFECACA"/>
        <x:color rgb="FFFEF3C7"/>
        <x:color rgb="FFDCFCE7"/>
      </x:colorScale>
    </x:cfRule>
  </x:conditionalFormatting>
  <x:pageMargins left="0.7" right="0.7" top="0.75" bottom="0.75" header="0.3" footer="0.3"/>
  <x:tableParts count="1">
    <x:tablePart xmlns:r="http://schemas.openxmlformats.org/officeDocument/2006/relationships" r:id="R834df40c872a4baa"/>
  </x:tableParts>
</x:worksheet>
</file>

<file path=xl/worksheets/sheet3.xml><?xml version="1.0" encoding="utf-8"?>
<x:worksheet xmlns:x="http://schemas.openxmlformats.org/spreadsheetml/2006/main">
  <x:sheetFormatPr defaultRowHeight="15"/>
  <x:cols>
    <x:col min="1" max="1" width="11.630000114440918" hidden="0" customWidth="1"/>
    <x:col min="2" max="2" width="8.25" hidden="0" customWidth="1"/>
    <x:col min="3" max="3" width="16.3799991607666" hidden="0" customWidth="1"/>
    <x:col min="4" max="4" width="38" hidden="0" customWidth="1"/>
    <x:col min="5" max="5" width="6.880000114440918" hidden="0" customWidth="1"/>
    <x:col min="6" max="6" width="18" hidden="0" customWidth="1"/>
    <x:col min="7" max="7" width="26.5" hidden="0" customWidth="1"/>
    <x:col min="8" max="8" width="7.75" hidden="0" customWidth="1"/>
  </x:cols>
  <x:sheetData>
    <x:row r="1">
      <x:c r="A1" s="5" t="str">
        <x:v>Contract ID</x:v>
      </x:c>
      <x:c r="B1" s="5" t="str">
        <x:v>Owner</x:v>
      </x:c>
      <x:c r="C1" s="5" t="str">
        <x:v>Renewal Window</x:v>
      </x:c>
      <x:c r="D1" s="5" t="str">
        <x:v>Action / Next Step</x:v>
      </x:c>
      <x:c r="E1" s="5" t="str">
        <x:v>Risk</x:v>
      </x:c>
      <x:c r="F1" s="5" t="str">
        <x:v>Pricing Opportunity</x:v>
      </x:c>
      <x:c r="G1" s="5" t="str">
        <x:v>Revenue / Margin Opportunity</x:v>
      </x:c>
      <x:c r="H1" s="5" t="str">
        <x:v>Status</x:v>
      </x:c>
    </x:row>
    <x:row r="2">
      <x:c r="A2" s="16" t="str">
        <x:v>CTR-1002</x:v>
      </x:c>
      <x:c r="B2" s="16" t="str">
        <x:v>PM E</x:v>
      </x:c>
      <x:c r="C2" s="16" t="str">
        <x:v>31-60</x:v>
      </x:c>
      <x:c r="D2" s="16" t="str">
        <x:v>Confirm renewal strategy and customer timing</x:v>
      </x:c>
      <x:c r="E2" s="16" t="str">
        <x:v>Low</x:v>
      </x:c>
      <x:c r="F2" s="16" t="str">
        <x:v>No</x:v>
      </x:c>
      <x:c r="G2" s="16" t="str">
        <x:v>Stable</x:v>
      </x:c>
      <x:c r="H2" s="16" t="str">
        <x:v>Open</x:v>
      </x:c>
    </x:row>
    <x:row r="3">
      <x:c r="A3" s="16" t="str">
        <x:v>CTR-1003</x:v>
      </x:c>
      <x:c r="B3" s="16" t="str">
        <x:v>PM B</x:v>
      </x:c>
      <x:c r="C3" s="16" t="str">
        <x:v>31-60</x:v>
      </x:c>
      <x:c r="D3" s="16" t="str">
        <x:v>Confirm renewal strategy and customer timing</x:v>
      </x:c>
      <x:c r="E3" s="16" t="str">
        <x:v>Low</x:v>
      </x:c>
      <x:c r="F3" s="16" t="str">
        <x:v>No</x:v>
      </x:c>
      <x:c r="G3" s="16" t="str">
        <x:v>Stable</x:v>
      </x:c>
      <x:c r="H3" s="16" t="str">
        <x:v>Open</x:v>
      </x:c>
    </x:row>
    <x:row r="4">
      <x:c r="A4" s="16" t="str">
        <x:v>CTR-1007</x:v>
      </x:c>
      <x:c r="B4" s="16" t="str">
        <x:v>PM E</x:v>
      </x:c>
      <x:c r="C4" s="16" t="str">
        <x:v>0-30</x:v>
      </x:c>
      <x:c r="D4" s="16" t="str">
        <x:v>Prepare renewal and pricing review</x:v>
      </x:c>
      <x:c r="E4" s="16" t="str">
        <x:v>Low</x:v>
      </x:c>
      <x:c r="F4" s="16" t="str">
        <x:v>Review</x:v>
      </x:c>
      <x:c r="G4" s="16" t="str">
        <x:v>Stable</x:v>
      </x:c>
      <x:c r="H4" s="16" t="str">
        <x:v>Open</x:v>
      </x:c>
    </x:row>
    <x:row r="5">
      <x:c r="A5" s="16" t="str">
        <x:v>CTR-1008</x:v>
      </x:c>
      <x:c r="B5" s="16" t="str">
        <x:v>PM B</x:v>
      </x:c>
      <x:c r="C5" s="16" t="str">
        <x:v>0-30</x:v>
      </x:c>
      <x:c r="D5" s="16" t="str">
        <x:v>Escalate renewal risk; validate viability and recovery plan</x:v>
      </x:c>
      <x:c r="E5" s="16" t="str">
        <x:v>High</x:v>
      </x:c>
      <x:c r="F5" s="16" t="str">
        <x:v>No</x:v>
      </x:c>
      <x:c r="G5" s="16" t="str">
        <x:v>Stable</x:v>
      </x:c>
      <x:c r="H5" s="16" t="str">
        <x:v>Open</x:v>
      </x:c>
    </x:row>
    <x:row r="6">
      <x:c r="A6" s="16" t="str">
        <x:v>CTR-1009</x:v>
      </x:c>
      <x:c r="B6" s="16" t="str">
        <x:v>PM D</x:v>
      </x:c>
      <x:c r="C6" s="16" t="str">
        <x:v>31-60</x:v>
      </x:c>
      <x:c r="D6" s="16" t="str">
        <x:v>Confirm renewal strategy and customer timing</x:v>
      </x:c>
      <x:c r="E6" s="16" t="str">
        <x:v>Low</x:v>
      </x:c>
      <x:c r="F6" s="16" t="str">
        <x:v>No</x:v>
      </x:c>
      <x:c r="G6" s="16" t="str">
        <x:v>Stable</x:v>
      </x:c>
      <x:c r="H6" s="16" t="str">
        <x:v>Open</x:v>
      </x:c>
    </x:row>
    <x:row r="7">
      <x:c r="A7" s="16" t="str">
        <x:v>CTR-1010</x:v>
      </x:c>
      <x:c r="B7" s="16" t="str">
        <x:v>PM A</x:v>
      </x:c>
      <x:c r="C7" s="16" t="str">
        <x:v>31-60</x:v>
      </x:c>
      <x:c r="D7" s="16" t="str">
        <x:v>Escalate renewal risk; validate viability and recovery plan</x:v>
      </x:c>
      <x:c r="E7" s="16" t="str">
        <x:v>High</x:v>
      </x:c>
      <x:c r="F7" s="16" t="str">
        <x:v>No</x:v>
      </x:c>
      <x:c r="G7" s="16" t="str">
        <x:v>Stable</x:v>
      </x:c>
      <x:c r="H7" s="16" t="str">
        <x:v>Open</x:v>
      </x:c>
    </x:row>
    <x:row r="8">
      <x:c r="A8" s="16" t="str">
        <x:v>CTR-1013</x:v>
      </x:c>
      <x:c r="B8" s="16" t="str">
        <x:v>PM B</x:v>
      </x:c>
      <x:c r="C8" s="16" t="str">
        <x:v>0-30</x:v>
      </x:c>
      <x:c r="D8" s="16" t="str">
        <x:v>Confirm renewal strategy and customer timing</x:v>
      </x:c>
      <x:c r="E8" s="16" t="str">
        <x:v>Medium</x:v>
      </x:c>
      <x:c r="F8" s="16" t="str">
        <x:v>No</x:v>
      </x:c>
      <x:c r="G8" s="16" t="str">
        <x:v>Opportunity</x:v>
      </x:c>
      <x:c r="H8" s="16" t="str">
        <x:v>Open</x:v>
      </x:c>
    </x:row>
    <x:row r="9">
      <x:c r="A9" s="16" t="str">
        <x:v>CTR-1017</x:v>
      </x:c>
      <x:c r="B9" s="16" t="str">
        <x:v>PM E</x:v>
      </x:c>
      <x:c r="C9" s="16" t="str">
        <x:v>61-90</x:v>
      </x:c>
      <x:c r="D9" s="16" t="str">
        <x:v>Prepare renewal and pricing review</x:v>
      </x:c>
      <x:c r="E9" s="16" t="str">
        <x:v>Low</x:v>
      </x:c>
      <x:c r="F9" s="16" t="str">
        <x:v>Review</x:v>
      </x:c>
      <x:c r="G9" s="16" t="str">
        <x:v>Opportunity</x:v>
      </x:c>
      <x:c r="H9" s="16" t="str">
        <x:v>Open</x:v>
      </x:c>
    </x:row>
    <x:row r="10">
      <x:c r="A10" s="16" t="str">
        <x:v>CTR-1018</x:v>
      </x:c>
      <x:c r="B10" s="16" t="str">
        <x:v>PM B</x:v>
      </x:c>
      <x:c r="C10" s="16" t="str">
        <x:v>31-60</x:v>
      </x:c>
      <x:c r="D10" s="16" t="str">
        <x:v>Escalate renewal risk; validate viability and recovery plan</x:v>
      </x:c>
      <x:c r="E10" s="16" t="str">
        <x:v>High</x:v>
      </x:c>
      <x:c r="F10" s="16" t="str">
        <x:v>No</x:v>
      </x:c>
      <x:c r="G10" s="16" t="str">
        <x:v>Stable</x:v>
      </x:c>
      <x:c r="H10" s="16" t="str">
        <x:v>Open</x:v>
      </x:c>
    </x:row>
    <x:row r="11">
      <x:c r="A11" s="16" t="str">
        <x:v>CTR-1020</x:v>
      </x:c>
      <x:c r="B11" s="16" t="str">
        <x:v>PM A</x:v>
      </x:c>
      <x:c r="C11" s="16" t="str">
        <x:v>31-60</x:v>
      </x:c>
      <x:c r="D11" s="16" t="str">
        <x:v>Confirm renewal strategy and customer timing</x:v>
      </x:c>
      <x:c r="E11" s="16" t="str">
        <x:v>Low</x:v>
      </x:c>
      <x:c r="F11" s="16" t="str">
        <x:v>No</x:v>
      </x:c>
      <x:c r="G11" s="16" t="str">
        <x:v>Stable</x:v>
      </x:c>
      <x:c r="H11" s="16" t="str">
        <x:v>Open</x:v>
      </x:c>
    </x:row>
    <x:row r="12">
      <x:c r="A12" s="16" t="str">
        <x:v>CTR-1022</x:v>
      </x:c>
      <x:c r="B12" s="16" t="str">
        <x:v>PM E</x:v>
      </x:c>
      <x:c r="C12" s="16" t="str">
        <x:v>31-60</x:v>
      </x:c>
      <x:c r="D12" s="16" t="str">
        <x:v>Confirm renewal strategy and customer timing</x:v>
      </x:c>
      <x:c r="E12" s="16" t="str">
        <x:v>Low</x:v>
      </x:c>
      <x:c r="F12" s="16" t="str">
        <x:v>No</x:v>
      </x:c>
      <x:c r="G12" s="16" t="str">
        <x:v>Stable</x:v>
      </x:c>
      <x:c r="H12" s="16" t="str">
        <x:v>Open</x:v>
      </x:c>
    </x:row>
    <x:row r="13">
      <x:c r="A13" s="16" t="str">
        <x:v>CTR-1023</x:v>
      </x:c>
      <x:c r="B13" s="16" t="str">
        <x:v>PM B</x:v>
      </x:c>
      <x:c r="C13" s="16" t="str">
        <x:v>0-30</x:v>
      </x:c>
      <x:c r="D13" s="16" t="str">
        <x:v>Confirm renewal strategy and customer timing</x:v>
      </x:c>
      <x:c r="E13" s="16" t="str">
        <x:v>Medium</x:v>
      </x:c>
      <x:c r="F13" s="16" t="str">
        <x:v>No</x:v>
      </x:c>
      <x:c r="G13" s="16" t="str">
        <x:v>Stable</x:v>
      </x:c>
      <x:c r="H13" s="16" t="str">
        <x:v>Open</x:v>
      </x:c>
    </x:row>
    <x:row r="14">
      <x:c r="A14" s="16" t="str">
        <x:v>CTR-1025</x:v>
      </x:c>
      <x:c r="B14" s="16" t="str">
        <x:v>PM A</x:v>
      </x:c>
      <x:c r="C14" s="16" t="str">
        <x:v>0-30</x:v>
      </x:c>
      <x:c r="D14" s="16" t="str">
        <x:v>Escalate renewal risk; validate viability and recovery plan</x:v>
      </x:c>
      <x:c r="E14" s="16" t="str">
        <x:v>High</x:v>
      </x:c>
      <x:c r="F14" s="16" t="str">
        <x:v>No</x:v>
      </x:c>
      <x:c r="G14" s="16" t="str">
        <x:v>Stable</x:v>
      </x:c>
      <x:c r="H14" s="16" t="str">
        <x:v>Open</x:v>
      </x:c>
    </x:row>
    <x:row r="15">
      <x:c r="A15" s="16" t="str">
        <x:v>CTR-1028</x:v>
      </x:c>
      <x:c r="B15" s="16" t="str">
        <x:v>PM B</x:v>
      </x:c>
      <x:c r="C15" s="16" t="str">
        <x:v>0-30</x:v>
      </x:c>
      <x:c r="D15" s="16" t="str">
        <x:v>Confirm renewal strategy and customer timing</x:v>
      </x:c>
      <x:c r="E15" s="16" t="str">
        <x:v>Low</x:v>
      </x:c>
      <x:c r="F15" s="16" t="str">
        <x:v>No</x:v>
      </x:c>
      <x:c r="G15" s="16" t="str">
        <x:v>Opportunity</x:v>
      </x:c>
      <x:c r="H15" s="16" t="str">
        <x:v>Open</x:v>
      </x:c>
    </x:row>
    <x:row r="16">
      <x:c r="A16" s="16" t="str">
        <x:v>CTR-1029</x:v>
      </x:c>
      <x:c r="B16" s="16" t="str">
        <x:v>PM D</x:v>
      </x:c>
      <x:c r="C16" s="16" t="str">
        <x:v>0-30</x:v>
      </x:c>
      <x:c r="D16" s="16" t="str">
        <x:v>Escalate renewal risk; validate viability and recovery plan</x:v>
      </x:c>
      <x:c r="E16" s="16" t="str">
        <x:v>High</x:v>
      </x:c>
      <x:c r="F16" s="16" t="str">
        <x:v>No</x:v>
      </x:c>
      <x:c r="G16" s="16" t="str">
        <x:v>Stable</x:v>
      </x:c>
      <x:c r="H16" s="16" t="str">
        <x:v>Open</x:v>
      </x:c>
    </x:row>
    <x:row r="17">
      <x:c r="A17" s="16" t="str">
        <x:v>CTR-1032</x:v>
      </x:c>
      <x:c r="B17" s="16" t="str">
        <x:v>PM E</x:v>
      </x:c>
      <x:c r="C17" s="16" t="str">
        <x:v>31-60</x:v>
      </x:c>
      <x:c r="D17" s="16" t="str">
        <x:v>Confirm renewal strategy and customer timing</x:v>
      </x:c>
      <x:c r="E17" s="16" t="str">
        <x:v>Low</x:v>
      </x:c>
      <x:c r="F17" s="16" t="str">
        <x:v>No</x:v>
      </x:c>
      <x:c r="G17" s="16" t="str">
        <x:v>Stable</x:v>
      </x:c>
      <x:c r="H17" s="16" t="str">
        <x:v>Open</x:v>
      </x:c>
    </x:row>
    <x:row r="18">
      <x:c r="A18" s="16" t="str">
        <x:v>CTR-1037</x:v>
      </x:c>
      <x:c r="B18" s="16" t="str">
        <x:v>PM E</x:v>
      </x:c>
      <x:c r="C18" s="16" t="str">
        <x:v>61-90</x:v>
      </x:c>
      <x:c r="D18" s="16" t="str">
        <x:v>Escalate renewal risk; validate viability and recovery plan</x:v>
      </x:c>
      <x:c r="E18" s="16" t="str">
        <x:v>High</x:v>
      </x:c>
      <x:c r="F18" s="16" t="str">
        <x:v>No</x:v>
      </x:c>
      <x:c r="G18" s="16" t="str">
        <x:v>Stable</x:v>
      </x:c>
      <x:c r="H18" s="16" t="str">
        <x:v>Open</x:v>
      </x:c>
    </x:row>
    <x:row r="19">
      <x:c r="A19" s="16" t="str">
        <x:v>CTR-1038</x:v>
      </x:c>
      <x:c r="B19" s="16" t="str">
        <x:v>PM B</x:v>
      </x:c>
      <x:c r="C19" s="16" t="str">
        <x:v>61-90</x:v>
      </x:c>
      <x:c r="D19" s="16" t="str">
        <x:v>Prepare renewal and pricing review</x:v>
      </x:c>
      <x:c r="E19" s="16" t="str">
        <x:v>Low</x:v>
      </x:c>
      <x:c r="F19" s="16" t="str">
        <x:v>Review</x:v>
      </x:c>
      <x:c r="G19" s="16" t="str">
        <x:v>Stable</x:v>
      </x:c>
      <x:c r="H19" s="16" t="str">
        <x:v>Open</x:v>
      </x:c>
    </x:row>
    <x:row r="20">
      <x:c r="A20" s="16" t="str">
        <x:v>CTR-1039</x:v>
      </x:c>
      <x:c r="B20" s="16" t="str">
        <x:v>PM D</x:v>
      </x:c>
      <x:c r="C20" s="16" t="str">
        <x:v>61-90</x:v>
      </x:c>
      <x:c r="D20" s="16" t="str">
        <x:v>Confirm renewal strategy and customer timing</x:v>
      </x:c>
      <x:c r="E20" s="16" t="str">
        <x:v>Low</x:v>
      </x:c>
      <x:c r="F20" s="16" t="str">
        <x:v>No</x:v>
      </x:c>
      <x:c r="G20" s="16" t="str">
        <x:v>Stable</x:v>
      </x:c>
      <x:c r="H20" s="16" t="str">
        <x:v>Open</x:v>
      </x:c>
    </x:row>
  </x:sheetData>
  <x:pageMargins left="0.7" right="0.7" top="0.75" bottom="0.75" header="0.3" footer="0.3"/>
  <x:tableParts count="1">
    <x:tablePart xmlns:r="http://schemas.openxmlformats.org/officeDocument/2006/relationships" r:id="R00dcf37645fe43fd"/>
  </x:tableParts>
</x:worksheet>
</file>

<file path=xl/worksheets/sheet4.xml><?xml version="1.0" encoding="utf-8"?>
<x:worksheet xmlns:x="http://schemas.openxmlformats.org/spreadsheetml/2006/main">
  <x:sheetFormatPr defaultRowHeight="15"/>
  <x:cols>
    <x:col min="1" max="1" width="24" hidden="0" customWidth="1"/>
    <x:col min="2" max="2" width="80" hidden="0" customWidth="1"/>
  </x:cols>
  <x:sheetData>
    <x:row r="1" ht="19.200000762939453" hidden="0" customHeight="1">
      <x:c r="A1" s="72" t="str">
        <x:v>Case Study #3 - Methodology &amp; Portfolio Disclosure</x:v>
      </x:c>
    </x:row>
    <x:row r="2"/>
    <x:row r="3" ht="171.60000610351562" hidden="0" customHeight="1">
      <x:c r="A3" s="76" t="str">
        <x:v>Purpose</x:v>
      </x:c>
      <x:c r="B3" s="16" t="str">
        <x:v>Demonstrate a representative contract portfolio intelligence and renewal-management operating model.</x:v>
      </x:c>
    </x:row>
    <x:row r="4" ht="369.6000061035156" hidden="0" customHeight="1">
      <x:c r="A4" s="76" t="str">
        <x:v>Data sources represented</x:v>
      </x:c>
      <x:c r="B4" s="16" t="str">
        <x:v>Sales-entered estimated contract value; actual sales captured by the sales engine when orders are coded to the contract; contract and renewal information maintained in Agiloft; Power BI-style dashboarding.</x:v>
      </x:c>
    </x:row>
    <x:row r="5" ht="224.39999389648438" hidden="0" customHeight="1">
      <x:c r="A5" s="76" t="str">
        <x:v>Technology-gap approach</x:v>
      </x:c>
      <x:c r="B5" s="16" t="str">
        <x:v>Representative of a process that used QC and reporting controls to bridge systems that did not yet communicate while APIs were being developed.</x:v>
      </x:c>
    </x:row>
    <x:row r="6" ht="224.39999389648438" hidden="0" customHeight="1">
      <x:c r="A6" s="76" t="str">
        <x:v>Management process</x:v>
      </x:c>
      <x:c r="B6" s="16" t="str">
        <x:v>Program Managers review renewal pipeline, document actions, identify renewal risk, and surface pricing, revenue and margin opportunities.</x:v>
      </x:c>
    </x:row>
    <x:row r="7" ht="264" hidden="0" customHeight="1">
      <x:c r="A7" s="76" t="str">
        <x:v>Decision framework</x:v>
      </x:c>
      <x:c r="B7" s="16" t="str">
        <x:v>Use contract value, actual performance, renewal risk and opportunity to prioritize limited resources and inform future RFP/pursuit assumptions.</x:v>
      </x:c>
    </x:row>
    <x:row r="8" ht="330" hidden="0" customHeight="1">
      <x:c r="A8" s="76" t="str">
        <x:v>Disclosure</x:v>
      </x:c>
      <x:c r="B8" s="16" t="str">
        <x:v>All contract names, owners and financial values in this workbook are simulated. The operating model is reconstructed from professional experience and is not an original employer document.</x:v>
      </x:c>
    </x:row>
    <x:row r="9" ht="39.599998474121094" hidden="0" customHeight="1">
      <x:c r="A9" s="88" t="str">
        <x:v>Portfolio segmentation</x:v>
      </x:c>
      <x:c r="B9" s="16" t="str">
        <x:v>The representative sample separates the portfolio into State, Local, Commercial and Federal contract buckets so renewal exposure, estimated vs. actual sales, performance and resource priorities can be compared across distinct markets.</x:v>
      </x:c>
    </x:row>
  </x:sheetData>
  <x:mergeCells>
    <x:mergeCell ref="A1:F1"/>
  </x:mergeCells>
  <x:pageMargins left="0.7" right="0.7" top="0.75" bottom="0.75" header="0.3" footer="0.3"/>
</x:worksheet>
</file>